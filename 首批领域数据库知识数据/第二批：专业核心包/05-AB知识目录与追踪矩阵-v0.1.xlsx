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8b088d7845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04e38de342ff43c4"/>
    <x:sheet xmlns:r="http://schemas.openxmlformats.org/officeDocument/2006/relationships" name="知识卡目录" sheetId="2" r:id="Rc213fa9e44cc42e0"/>
    <x:sheet xmlns:r="http://schemas.openxmlformats.org/officeDocument/2006/relationships" name="需求映射" sheetId="3" r:id="R9cd73dcccb1946b4"/>
    <x:sheet xmlns:r="http://schemas.openxmlformats.org/officeDocument/2006/relationships" name="来源索引" sheetId="4" r:id="Rc52836afab30410a"/>
    <x:sheet xmlns:r="http://schemas.openxmlformats.org/officeDocument/2006/relationships" name="验证夹具" sheetId="5" r:id="R090c8d9fe922421f"/>
    <x:sheet xmlns:r="http://schemas.openxmlformats.org/officeDocument/2006/relationships" name="复核说明" sheetId="6" r:id="R4bbefba54721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56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83B56"/>
      <x:name val="Carlito"/>
    </x:font>
    <x:font>
      <x:b/>
      <x:sz val="11"/>
      <x:color rgb="FF1B4D4B"/>
      <x:name val="Carlito"/>
    </x:font>
    <x:font>
      <x:sz val="11"/>
      <x:color rgb="FF7C4A0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CEAF2"/>
      </x:patternFill>
    </x:fill>
    <x:fill>
      <x:patternFill patternType="solid">
        <x:fgColor rgb="FF2B6777"/>
      </x:patternFill>
    </x:fill>
    <x:fill>
      <x:patternFill patternType="solid">
        <x:fgColor rgb="FFEAF4F4"/>
      </x:patternFill>
    </x:fill>
    <x:fill>
      <x:patternFill patternType="solid">
        <x:fgColor rgb="FFFFF7E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B1E1E"/>
      </x:font>
      <x:fill>
        <x:patternFill patternType="solid">
          <x:bgColor rgb="FFFDE2E2"/>
        </x:patternFill>
      </x:fill>
    </x:dxf>
    <x:dxf>
      <x:font>
        <x:color rgb="FF7A5B00"/>
      </x:font>
      <x:fill>
        <x:patternFill patternType="solid">
          <x:bgColor rgb="FFFFF4CC"/>
        </x:patternFill>
      </x:fill>
    </x:dxf>
    <x:dxf>
      <x:font>
        <x:color rgb="FF1E6B3A"/>
      </x:font>
      <x:fill>
        <x:patternFill patternType="solid">
          <x:bgColor rgb="FFDDF4E4"/>
        </x:patternFill>
      </x:fill>
    </x:dxf>
    <x:dxf>
      <x:font>
        <x:color rgb="FF1E6B3A"/>
      </x:font>
      <x:fill>
        <x:patternFill patternType="solid">
          <x:bgColor rgb="FFDDF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0cd95091d4246" /><Relationship Type="http://schemas.openxmlformats.org/officeDocument/2006/relationships/theme" Target="/xl/theme/theme1.xml" Id="R040b70cfa4e84ff6" /><Relationship Type="http://schemas.openxmlformats.org/officeDocument/2006/relationships/sharedStrings" Target="/xl/sharedStrings.xml" Id="R4c37c8312b7145a7" /><Relationship Type="http://schemas.openxmlformats.org/officeDocument/2006/relationships/worksheet" Target="/xl/worksheets/sheet1.xml" Id="R04e38de342ff43c4" /><Relationship Type="http://schemas.openxmlformats.org/officeDocument/2006/relationships/worksheet" Target="/xl/worksheets/sheet2.xml" Id="Rc213fa9e44cc42e0" /><Relationship Type="http://schemas.openxmlformats.org/officeDocument/2006/relationships/worksheet" Target="/xl/worksheets/sheet3.xml" Id="R9cd73dcccb1946b4" /><Relationship Type="http://schemas.openxmlformats.org/officeDocument/2006/relationships/worksheet" Target="/xl/worksheets/sheet4.xml" Id="Rc52836afab30410a" /><Relationship Type="http://schemas.openxmlformats.org/officeDocument/2006/relationships/worksheet" Target="/xl/worksheets/sheet5.xml" Id="R090c8d9fe922421f" /><Relationship Type="http://schemas.openxmlformats.org/officeDocument/2006/relationships/worksheet" Target="/xl/worksheets/sheet6.xml" Id="R4bbefba547214b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91814b7d34457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三种硬度分布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卡片数</c:v>
          </c:tx>
          <c:cat>
            <c:strRef>
              <c:f>'总览'!$D$5:$D$7</c:f>
              <c:strCache>
                <c:ptCount val="0"/>
              </c:strCache>
            </c:strRef>
          </c:cat>
          <c:val>
            <c:numRef>
              <c:f>'总览'!$E$5:$E$7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91814b7d34457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KnowledgeCardsTable" displayName="KnowledgeCardsTable" ref="A1:T43" headerRowCount="1">
  <x:tableColumns count="20">
    <x:tableColumn id="1" name="knowledge_id"/>
    <x:tableColumn id="2" name="title"/>
    <x:tableColumn id="3" name="demand_id"/>
    <x:tableColumn id="4" name="category"/>
    <x:tableColumn id="5" name="topic"/>
    <x:tableColumn id="6" name="asset_type"/>
    <x:tableColumn id="7" name="semantic_distance"/>
    <x:tableColumn id="8" name="hardness"/>
    <x:tableColumn id="9" name="supported_products"/>
    <x:tableColumn id="10" name="statement"/>
    <x:tableColumn id="11" name="适用范围/何时使用"/>
    <x:tableColumn id="12" name="可能效果/创意方向"/>
    <x:tableColumn id="13" name="原因/变化轴"/>
    <x:tableColumn id="14" name="代价/反套路"/>
    <x:tableColumn id="15" name="不适用/需谨慎"/>
    <x:tableColumn id="16" name="禁止误用"/>
    <x:tableColumn id="17" name="允许表达"/>
    <x:tableColumn id="18" name="basis_refs"/>
    <x:tableColumn id="19" name="review_policy"/>
    <x:tableColumn id="20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DemandMappingTable" displayName="DemandMappingTable" ref="A1:I17" headerRowCount="1">
  <x:tableColumns count="9">
    <x:tableColumn id="1" name="需求ID"/>
    <x:tableColumn id="2" name="主题"/>
    <x:tableColumn id="3" name="范畴"/>
    <x:tableColumn id="4" name="计划硬度"/>
    <x:tableColumn id="5" name="主要消费产品"/>
    <x:tableColumn id="6" name="候选卡数量"/>
    <x:tableColumn id="7" name="覆盖状态"/>
    <x:tableColumn id="8" name="本批处理"/>
    <x:tableColumn id="9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H33" headerRowCount="1">
  <x:tableColumns count="8">
    <x:tableColumn id="1" name="source_id"/>
    <x:tableColumn id="2" name="type"/>
    <x:tableColumn id="3" name="title"/>
    <x:tableColumn id="4" name="organization"/>
    <x:tableColumn id="5" name="year"/>
    <x:tableColumn id="6" name="use_scope"/>
    <x:tableColumn id="7" name="url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FixturesTable" displayName="FixturesTable" ref="A1:I18" headerRowCount="1">
  <x:tableColumns count="9">
    <x:tableColumn id="1" name="fixture_id"/>
    <x:tableColumn id="2" name="type"/>
    <x:tableColumn id="3" name="title"/>
    <x:tableColumn id="4" name="supported_products"/>
    <x:tableColumn id="5" name="related_card_ids"/>
    <x:tableColumn id="6" name="input"/>
    <x:tableColumn id="7" name="expected"/>
    <x:tableColumn id="8" name="must_not"/>
    <x:tableColumn id="9" name="execution_sco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565a09963042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3987115f83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5391a6512541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25039f39f044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578d071854435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4" max="4" width="22" hidden="0" customWidth="1"/>
    <x:col min="5" max="5" width="12" hidden="0" customWidth="1"/>
  </x:cols>
  <x:sheetData>
    <x:row r="1" ht="19.200000762939453" hidden="0" customHeight="1">
      <x:c r="A1" s="5" t="str">
        <x:v>第二批：A/B 专业核心知识包 v0.1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2" t="str">
        <x:v>状态：review_candidate｜P5-C/P5-D 已由用户关闭｜本包不冻结本体类、数据库表或媒体规格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3"/>
    <x:row r="4" ht="15" hidden="0" customHeight="1">
      <x:c r="A4" s="20" t="str">
        <x:v>指标</x:v>
      </x:c>
      <x:c r="B4" s="20" t="str">
        <x:v>值</x:v>
      </x:c>
      <x:c r="D4" s="20" t="str">
        <x:v>硬度</x:v>
      </x:c>
      <x:c r="E4" s="20" t="str">
        <x:v>卡片数</x:v>
      </x:c>
    </x:row>
    <x:row r="5" ht="24" hidden="0" customHeight="1">
      <x:c r="A5" s="32" t="str">
        <x:v>知识卡总数</x:v>
      </x:c>
      <x:c r="B5" s="34" t="n">
        <x:f>COUNTA('知识卡目录'!$A$2:$A$200)</x:f>
        <x:v>42</x:v>
      </x:c>
      <x:c r="D5" s="28" t="str">
        <x:v>确定性知识</x:v>
      </x:c>
      <x:c r="E5" s="28" t="n">
        <x:f>COUNTIF('知识卡目录'!$H$2:$H$200,"deterministic_fact")</x:f>
        <x:v>10</x:v>
      </x:c>
    </x:row>
    <x:row r="6" ht="24" hidden="0" customHeight="1">
      <x:c r="A6" s="32" t="str">
        <x:v>A 类卡片</x:v>
      </x:c>
      <x:c r="B6" s="34" t="n">
        <x:f>COUNTIF('知识卡目录'!$D$2:$D$200,"A")</x:f>
        <x:v>22</x:v>
      </x:c>
      <x:c r="D6" s="28" t="str">
        <x:v>条件性专业规律</x:v>
      </x:c>
      <x:c r="E6" s="28" t="n">
        <x:f>COUNTIF('知识卡目录'!$H$2:$H$200,"conditional_rule")</x:f>
        <x:v>30</x:v>
      </x:c>
    </x:row>
    <x:row r="7" ht="24" hidden="0" customHeight="1">
      <x:c r="A7" s="32" t="str">
        <x:v>B 类卡片</x:v>
      </x:c>
      <x:c r="B7" s="34" t="n">
        <x:f>COUNTIF('知识卡目录'!$D$2:$D$200,"B")</x:f>
        <x:v>20</x:v>
      </x:c>
      <x:c r="D7" s="28" t="str">
        <x:v>审美/创意候选</x:v>
      </x:c>
      <x:c r="E7" s="28" t="n">
        <x:f>COUNTIF('知识卡目录'!$H$2:$H$200,"creative_candidate")</x:f>
        <x:v>2</x:v>
      </x:c>
    </x:row>
    <x:row r="8" ht="24" hidden="0" customHeight="1">
      <x:c r="A8" s="32" t="str">
        <x:v>确定性知识</x:v>
      </x:c>
      <x:c r="B8" s="34" t="n">
        <x:f>COUNTIF('知识卡目录'!$H$2:$H$200,"deterministic_fact")</x:f>
        <x:v>10</x:v>
      </x:c>
    </x:row>
    <x:row r="9" ht="24" hidden="0" customHeight="1">
      <x:c r="A9" s="32" t="str">
        <x:v>条件性规律</x:v>
      </x:c>
      <x:c r="B9" s="34" t="n">
        <x:f>COUNTIF('知识卡目录'!$H$2:$H$200,"conditional_rule")</x:f>
        <x:v>30</x:v>
      </x:c>
    </x:row>
    <x:row r="10" ht="15" hidden="0" customHeight="1">
      <x:c r="A10" s="32" t="str">
        <x:v>创意候选</x:v>
      </x:c>
      <x:c r="B10" s="34" t="n">
        <x:f>COUNTIF('知识卡目录'!$H$2:$H$200,"creative_candidate")</x:f>
        <x:v>2</x:v>
      </x:c>
    </x:row>
    <x:row r="11" ht="15" hidden="0" customHeight="1">
      <x:c r="A11" s="32" t="str">
        <x:v>来源条目</x:v>
      </x:c>
      <x:c r="B11" s="34" t="n">
        <x:f>COUNTA('来源索引'!$A$2:$A$200)</x:f>
        <x:v>32</x:v>
      </x:c>
    </x:row>
    <x:row r="12" ht="15" hidden="0" customHeight="1">
      <x:c r="A12" s="32" t="str">
        <x:v>验证夹具</x:v>
      </x:c>
      <x:c r="B12" s="34" t="n">
        <x:f>COUNTA('验证夹具'!$A$2:$A$200)</x:f>
        <x:v>17</x:v>
      </x:c>
    </x:row>
    <x:row r="13" ht="24" hidden="0" customHeight="1">
      <x:c r="A13" s="32" t="str">
        <x:v>已覆盖需求主题</x:v>
      </x:c>
      <x:c r="B13" s="34" t="n">
        <x:f>COUNTIF('需求映射'!$F$2:$F$30,"&gt;0")</x:f>
        <x:v>16</x:v>
      </x:c>
    </x:row>
    <x:row r="14" ht="24" hidden="0" customHeight="1">
      <x:c r="A14" s="32" t="str">
        <x:v>当前激活状态</x:v>
      </x:c>
      <x:c r="B14" s="28" t="str">
        <x:f>"review_candidate"</x:f>
        <x:v>review_candidate</x:v>
      </x:c>
    </x:row>
    <x:row r="15"/>
    <x:row r="16" ht="15" hidden="0" customHeight="1">
      <x:c r="A16" s="38" t="str">
        <x:v>本批锁定的上游结论</x:v>
      </x:c>
      <x:c r="B16" s="38"/>
    </x:row>
    <x:row r="17" ht="501.6000061035156" hidden="0" customHeight="1">
      <x:c r="A17" s="45" t="str">
        <x:v>• 三种硬度与 A—H 资产定位已确认。
• 49 个主题是需求目录，不是知识条目数量承诺。
• 四类卡片只作为逻辑合同，不冻结物理实现。
• P5-C/P5-D 已关闭，五类专属验收达到 5/5。
• B08 进入本批候选，但平台、镜头、时长和媒介组成仍由 D-032 决定。
• 具体 P5 黄金拍法只用于验证，不得固化为领域模板。</x:v>
      </x:c>
      <x:c r="B17" s="45"/>
    </x:row>
    <x:row r="18" ht="15" hidden="0" customHeight="1">
      <x:c r="A18" s="45"/>
      <x:c r="B18" s="45"/>
    </x:row>
    <x:row r="19" ht="15" hidden="0" customHeight="1">
      <x:c r="A19" s="45"/>
      <x:c r="B19" s="45"/>
    </x:row>
    <x:row r="20" ht="15" hidden="0" customHeight="1">
      <x:c r="A20" s="45"/>
      <x:c r="B20" s="45"/>
    </x:row>
    <x:row r="21" ht="15" hidden="0" customHeight="1">
      <x:c r="A21" s="45"/>
      <x:c r="B21" s="45"/>
    </x:row>
    <x:row r="22" ht="15" hidden="0" customHeight="1">
      <x:c r="A22" s="45"/>
      <x:c r="B22" s="45"/>
    </x:row>
  </x:sheetData>
  <x:mergeCells>
    <x:mergeCell ref="A1:J1"/>
    <x:mergeCell ref="A2:J2"/>
    <x:mergeCell ref="A16:B16"/>
    <x:mergeCell ref="A17:B22"/>
  </x:mergeCells>
  <x:pageMargins left="0.7" right="0.7" top="0.75" bottom="0.75" header="0.3" footer="0.3"/>
  <x:drawing xmlns:r="http://schemas.openxmlformats.org/officeDocument/2006/relationships" r:id="R40565a099630423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0" hidden="0" customWidth="1"/>
    <x:col min="4" max="4" width="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52" hidden="0" customWidth="1"/>
    <x:col min="11" max="11" width="40" hidden="0" customWidth="1"/>
    <x:col min="12" max="12" width="34" hidden="0" customWidth="1"/>
    <x:col min="13" max="13" width="38" hidden="0" customWidth="1"/>
    <x:col min="14" max="14" width="38" hidden="0" customWidth="1"/>
    <x:col min="15" max="15" width="38" hidden="0" customWidth="1"/>
    <x:col min="16" max="16" width="44" hidden="0" customWidth="1"/>
    <x:col min="17" max="17" width="22" hidden="0" customWidth="1"/>
    <x:col min="18" max="18" width="38" hidden="0" customWidth="1"/>
    <x:col min="19" max="19" width="30" hidden="0" customWidth="1"/>
    <x:col min="20" max="20" width="18" hidden="0" customWidth="1"/>
  </x:cols>
  <x:sheetData>
    <x:row r="1" ht="15" hidden="0" customHeight="1">
      <x:c r="A1" s="20" t="str">
        <x:v>knowledge_id</x:v>
      </x:c>
      <x:c r="B1" s="20" t="str">
        <x:v>title</x:v>
      </x:c>
      <x:c r="C1" s="20" t="str">
        <x:v>demand_id</x:v>
      </x:c>
      <x:c r="D1" s="20" t="str">
        <x:v>category</x:v>
      </x:c>
      <x:c r="E1" s="20" t="str">
        <x:v>topic</x:v>
      </x:c>
      <x:c r="F1" s="20" t="str">
        <x:v>asset_type</x:v>
      </x:c>
      <x:c r="G1" s="20" t="str">
        <x:v>semantic_distance</x:v>
      </x:c>
      <x:c r="H1" s="20" t="str">
        <x:v>hardness</x:v>
      </x:c>
      <x:c r="I1" s="20" t="str">
        <x:v>supported_products</x:v>
      </x:c>
      <x:c r="J1" s="20" t="str">
        <x:v>statement</x:v>
      </x:c>
      <x:c r="K1" s="20" t="str">
        <x:v>适用范围/何时使用</x:v>
      </x:c>
      <x:c r="L1" s="20" t="str">
        <x:v>可能效果/创意方向</x:v>
      </x:c>
      <x:c r="M1" s="20" t="str">
        <x:v>原因/变化轴</x:v>
      </x:c>
      <x:c r="N1" s="20" t="str">
        <x:v>代价/反套路</x:v>
      </x:c>
      <x:c r="O1" s="20" t="str">
        <x:v>不适用/需谨慎</x:v>
      </x:c>
      <x:c r="P1" s="20" t="str">
        <x:v>禁止误用</x:v>
      </x:c>
      <x:c r="Q1" s="20" t="str">
        <x:v>允许表达</x:v>
      </x:c>
      <x:c r="R1" s="20" t="str">
        <x:v>basis_refs</x:v>
      </x:c>
      <x:c r="S1" s="20" t="str">
        <x:v>review_policy</x:v>
      </x:c>
      <x:c r="T1" s="20" t="str">
        <x:v>status</x:v>
      </x:c>
    </x:row>
    <x:row r="2" ht="36" hidden="0" customHeight="1">
      <x:c r="A2" s="28" t="str">
        <x:v>A-TERM-001</x:v>
      </x:c>
      <x:c r="B2" s="28" t="str">
        <x:v>纤维—纱线—面料—成衣是不同对象层级</x:v>
      </x:c>
      <x:c r="C2" s="28" t="str">
        <x:v>A01</x:v>
      </x:c>
      <x:c r="D2" s="28" t="str">
        <x:v>A</x:v>
      </x:c>
      <x:c r="E2" s="28" t="str">
        <x:v>textile_terms</x:v>
      </x:c>
      <x:c r="F2" s="28" t="str">
        <x:v>domain_knowledge</x:v>
      </x:c>
      <x:c r="G2" s="28" t="str">
        <x:v>commercial_core</x:v>
      </x:c>
      <x:c r="H2" s="28" t="str">
        <x:v>deterministic_fact</x:v>
      </x:c>
      <x:c r="I2" s="28" t="str">
        <x:v>P1;P2;P5</x:v>
      </x:c>
      <x:c r="J2" s="28" t="str">
        <x:v>纤维、纱线、平面纺织结构（面料/织物）和成衣属于不同层级；上一层的存在不能替代下一层的结构与成品事实。</x:v>
      </x:c>
      <x:c r="K2" s="28" t="str">
        <x:v>服装与一般纺织品的基础术语</x:v>
      </x:c>
      <x:c r="L2" s="28" t="str"/>
      <x:c r="M2" s="28" t="str">
        <x:v>按 ASTM 纺织与织物术语区分材料基本单元、线性集合、平面结构和最终服装制品。</x:v>
      </x:c>
      <x:c r="N2" s="28" t="str"/>
      <x:c r="O2" s="28" t="str"/>
      <x:c r="P2" s="28" t="str">
        <x:v>不得仅凭纤维名称推断整件面料或成衣的全部性能；不得把通用术语冒充具体商品已采用的结构。</x:v>
      </x:c>
      <x:c r="Q2" s="28" t="str">
        <x:v>assertive_within_scope</x:v>
      </x:c>
      <x:c r="R2" s="28" t="str">
        <x:v>STD-ASTM-D4850</x:v>
      </x:c>
      <x:c r="S2" s="28" t="str">
        <x:v>标准版本变化时复核；无变化时每24个月抽样复核</x:v>
      </x:c>
      <x:c r="T2" s="28" t="str">
        <x:v>review_candidate</x:v>
      </x:c>
    </x:row>
    <x:row r="3" ht="36" hidden="0" customHeight="1">
      <x:c r="A3" s="28" t="str">
        <x:v>A-TERM-002</x:v>
      </x:c>
      <x:c r="B3" s="28" t="str">
        <x:v>机织、针织与非织造是不同成形结构</x:v>
      </x:c>
      <x:c r="C3" s="28" t="str">
        <x:v>A01</x:v>
      </x:c>
      <x:c r="D3" s="28" t="str">
        <x:v>A</x:v>
      </x:c>
      <x:c r="E3" s="28" t="str">
        <x:v>fabric_structure</x:v>
      </x:c>
      <x:c r="F3" s="28" t="str">
        <x:v>domain_knowledge</x:v>
      </x:c>
      <x:c r="G3" s="28" t="str">
        <x:v>commercial_core</x:v>
      </x:c>
      <x:c r="H3" s="28" t="str">
        <x:v>deterministic_fact</x:v>
      </x:c>
      <x:c r="I3" s="28" t="str">
        <x:v>P1;P2;P5</x:v>
      </x:c>
      <x:c r="J3" s="28" t="str">
        <x:v>机织依靠经纬等纱线系统交织，针织依靠线圈相互串套，非织造则通过纤维网的机械、热或化学结合形成；结构不同会带来不同的可变形方式，但不直接决定最终好坏。</x:v>
      </x:c>
      <x:c r="K3" s="28" t="str">
        <x:v>服装面料结构分类</x:v>
      </x:c>
      <x:c r="L3" s="28" t="str"/>
      <x:c r="M3" s="28" t="str">
        <x:v>按结构成形方式定义，不以商品营销名称替代结构判断。</x:v>
      </x:c>
      <x:c r="N3" s="28" t="str"/>
      <x:c r="O3" s="28" t="str"/>
      <x:c r="P3" s="28" t="str">
        <x:v>不得把“针织=一定弹”“机织=一定不弹”“非织造=低质量”作为结论。</x:v>
      </x:c>
      <x:c r="Q3" s="28" t="str">
        <x:v>assertive_within_scope</x:v>
      </x:c>
      <x:c r="R3" s="28" t="str">
        <x:v>STD-ASTM-D4850</x:v>
      </x:c>
      <x:c r="S3" s="28" t="str">
        <x:v>标准版本变化时复核；无变化时每24个月抽样复核</x:v>
      </x:c>
      <x:c r="T3" s="28" t="str">
        <x:v>review_candidate</x:v>
      </x:c>
    </x:row>
    <x:row r="4" ht="24" hidden="0" customHeight="1">
      <x:c r="A4" s="28" t="str">
        <x:v>A-MAT-002</x:v>
      </x:c>
      <x:c r="B4" s="28" t="str">
        <x:v>吸湿、导湿、干燥、空气渗透和水蒸气传递是不同概念</x:v>
      </x:c>
      <x:c r="C4" s="28" t="str">
        <x:v>A02</x:v>
      </x:c>
      <x:c r="D4" s="28" t="str">
        <x:v>A</x:v>
      </x:c>
      <x:c r="E4" s="28" t="str">
        <x:v>moisture_terms</x:v>
      </x:c>
      <x:c r="F4" s="28" t="str">
        <x:v>domain_knowledge</x:v>
      </x:c>
      <x:c r="G4" s="28" t="str">
        <x:v>commercial_core</x:v>
      </x:c>
      <x:c r="H4" s="28" t="str">
        <x:v>deterministic_fact</x:v>
      </x:c>
      <x:c r="I4" s="28" t="str">
        <x:v>P1;P2</x:v>
      </x:c>
      <x:c r="J4" s="28" t="str">
        <x:v>材料吸收水分、液态水在表面/结构中迁移、干燥速度、空气穿透及水蒸气传递分别描述不同过程，不能用一个“透气排汗”统称。</x:v>
      </x:c>
      <x:c r="K4" s="28" t="str">
        <x:v>日常服装热湿舒适表达</x:v>
      </x:c>
      <x:c r="L4" s="28" t="str"/>
      <x:c r="M4" s="28" t="str">
        <x:v>分别说明所依据的材料特征或测试指标；没有测试时只作条件性解释。</x:v>
      </x:c>
      <x:c r="N4" s="28" t="str"/>
      <x:c r="O4" s="28" t="str"/>
      <x:c r="P4" s="28" t="str">
        <x:v>不得因纤维吸湿就宣称整件衣服一定排汗、快干或透气。</x:v>
      </x:c>
      <x:c r="Q4" s="28" t="str">
        <x:v>assertive_within_scope</x:v>
      </x:c>
      <x:c r="R4" s="28" t="str">
        <x:v>STD-ISO-9237;STD-ISO-11092;PAPER-TEYEME-2020;PAPER-KIM-2021</x:v>
      </x:c>
      <x:c r="S4" s="28" t="str">
        <x:v>标准版本变化时复核；无变化时每24个月抽样复核</x:v>
      </x:c>
      <x:c r="T4" s="28" t="str">
        <x:v>review_candidate</x:v>
      </x:c>
    </x:row>
    <x:row r="5" ht="24" hidden="0" customHeight="1">
      <x:c r="A5" s="28" t="str">
        <x:v>A-MEASURE-002</x:v>
      </x:c>
      <x:c r="B5" s="28" t="str">
        <x:v>空气渗透率、热阻与水蒸气阻力不是同一指标</x:v>
      </x:c>
      <x:c r="C5" s="28" t="str">
        <x:v>A02</x:v>
      </x:c>
      <x:c r="D5" s="28" t="str">
        <x:v>A</x:v>
      </x:c>
      <x:c r="E5" s="28" t="str">
        <x:v>comfort_measurement</x:v>
      </x:c>
      <x:c r="F5" s="28" t="str">
        <x:v>domain_knowledge</x:v>
      </x:c>
      <x:c r="G5" s="28" t="str">
        <x:v>commercial_core</x:v>
      </x:c>
      <x:c r="H5" s="28" t="str">
        <x:v>deterministic_fact</x:v>
      </x:c>
      <x:c r="I5" s="28" t="str">
        <x:v>P1;P2</x:v>
      </x:c>
      <x:c r="J5" s="28" t="str">
        <x:v>空气渗透率描述空气穿过材料的能力；热阻与水蒸气阻力分别描述稳定条件下的热传递和水蒸气传递阻力。三者相关但不能互相替代。</x:v>
      </x:c>
      <x:c r="K5" s="28" t="str">
        <x:v>服装面料与多层材料的舒适性能描述</x:v>
      </x:c>
      <x:c r="L5" s="28" t="str"/>
      <x:c r="M5" s="28" t="str">
        <x:v>分别使用对应试验方法和单位；测试结果必须连同试验条件理解。</x:v>
      </x:c>
      <x:c r="N5" s="28" t="str"/>
      <x:c r="O5" s="28" t="str"/>
      <x:c r="P5" s="28" t="str">
        <x:v>不得以“透气”概括所有热湿舒适性能；不得用空气渗透率证明保暖或排汗。</x:v>
      </x:c>
      <x:c r="Q5" s="28" t="str">
        <x:v>assertive_within_scope</x:v>
      </x:c>
      <x:c r="R5" s="28" t="str">
        <x:v>STD-ISO-9237;STD-ISO-11092;PAPER-ADAMEK-2021</x:v>
      </x:c>
      <x:c r="S5" s="28" t="str">
        <x:v>标准版本变化时复核；无变化时每24个月抽样复核</x:v>
      </x:c>
      <x:c r="T5" s="28" t="str">
        <x:v>review_candidate</x:v>
      </x:c>
    </x:row>
    <x:row r="6" ht="36" hidden="0" customHeight="1">
      <x:c r="A6" s="28" t="str">
        <x:v>A-MAT-001</x:v>
      </x:c>
      <x:c r="B6" s="28" t="str">
        <x:v>保暖是材料与服装系统共同形成的结果</x:v>
      </x:c>
      <x:c r="C6" s="28" t="str">
        <x:v>A02</x:v>
      </x:c>
      <x:c r="D6" s="28" t="str">
        <x:v>A</x:v>
      </x:c>
      <x:c r="E6" s="28" t="str">
        <x:v>thermal_behavior</x:v>
      </x:c>
      <x:c r="F6" s="28" t="str">
        <x:v>domain_knowledge</x:v>
      </x:c>
      <x:c r="G6" s="28" t="str">
        <x:v>commercial_core</x:v>
      </x:c>
      <x:c r="H6" s="28" t="str">
        <x:v>conditional_rule</x:v>
      </x:c>
      <x:c r="I6" s="28" t="str">
        <x:v>P1;P2</x:v>
      </x:c>
      <x:c r="J6" s="28" t="str">
        <x:v>当材料结构能够形成稳定空气层、减少热传递并与穿着环境匹配时，服装可能更保暖；纤维名称本身不足以决定实际保暖。</x:v>
      </x:c>
      <x:c r="K6" s="28" t="str">
        <x:v>比较具体服装或面料组合的热感与保暖预期</x:v>
      </x:c>
      <x:c r="L6" s="28" t="str">
        <x:v>可能提高热阻并减少体表散热</x:v>
      </x:c>
      <x:c r="M6" s="28" t="str">
        <x:v>热阻受厚度、体积、织物结构、含湿状态、风、里料、松量和多层组合共同影响</x:v>
      </x:c>
      <x:c r="N6" s="28" t="str">
        <x:v>更保暖往往伴随体积、重量、闷热、活动受限或室内过热等代价</x:v>
      </x:c>
      <x:c r="O6" s="28" t="str">
        <x:v>高风环境但外层不防风；潮湿压缩后空气层减少；只知道纤维成分而不知道结构</x:v>
      </x:c>
      <x:c r="P6" s="28" t="str">
        <x:v>不得写成“羊毛一定保暖”“克重越高一定越暖”；测试热阻也不等于保证个人舒适。</x:v>
      </x:c>
      <x:c r="Q6" s="28" t="str">
        <x:v>conditional</x:v>
      </x:c>
      <x:c r="R6" s="28" t="str">
        <x:v>STD-ISO-11092;PAPER-TEYEME-2020;PAPER-VESELA-2018</x:v>
      </x:c>
      <x:c r="S6" s="28" t="str">
        <x:v>出现黄金任务失败、真实反例或专业争议时立即复核；至少每12个月专家抽样复核</x:v>
      </x:c>
      <x:c r="T6" s="28" t="str">
        <x:v>review_candidate</x:v>
      </x:c>
    </x:row>
    <x:row r="7" ht="36" hidden="0" customHeight="1">
      <x:c r="A7" s="28" t="str">
        <x:v>A-MAT-003</x:v>
      </x:c>
      <x:c r="B7" s="28" t="str">
        <x:v>空气渗透率主要受孔隙与结构影响，不由纤维名单独决定</x:v>
      </x:c>
      <x:c r="C7" s="28" t="str">
        <x:v>A02</x:v>
      </x:c>
      <x:c r="D7" s="28" t="str">
        <x:v>A</x:v>
      </x:c>
      <x:c r="E7" s="28" t="str">
        <x:v>air_permeability</x:v>
      </x:c>
      <x:c r="F7" s="28" t="str">
        <x:v>domain_knowledge</x:v>
      </x:c>
      <x:c r="G7" s="28" t="str">
        <x:v>commercial_core</x:v>
      </x:c>
      <x:c r="H7" s="28" t="str">
        <x:v>conditional_rule</x:v>
      </x:c>
      <x:c r="I7" s="28" t="str">
        <x:v>P1;P2</x:v>
      </x:c>
      <x:c r="J7" s="28" t="str">
        <x:v>当织物孔隙更开放、组织较疏、涂层和紧密整理较少时，空气通常更容易穿过；纱线、密度、结构和后整理可使同一种纤维表现差异很大。</x:v>
      </x:c>
      <x:c r="K7" s="28" t="str">
        <x:v>需要解释闷、透风、防风或空气交换时</x:v>
      </x:c>
      <x:c r="L7" s="28" t="str">
        <x:v>空气交换可能增强，也可能降低防风性</x:v>
      </x:c>
      <x:c r="M7" s="28" t="str">
        <x:v>空气通过路径由孔隙率、织物组织、纱线、密度、厚度和整理共同决定</x:v>
      </x:c>
      <x:c r="N7" s="28" t="str">
        <x:v>高空气渗透可能伴随防风下降；低空气渗透不必然意味着高热阻或低水蒸气传递</x:v>
      </x:c>
      <x:c r="O7" s="28" t="str">
        <x:v>存在膜、涂层、复合结构或未知整理；仅知道“棉/涤纶/羊毛”等纤维名</x:v>
      </x:c>
      <x:c r="P7" s="28" t="str">
        <x:v>不得把“棉=透气”“聚酯=不透气”作为商品结论。</x:v>
      </x:c>
      <x:c r="Q7" s="28" t="str">
        <x:v>conditional</x:v>
      </x:c>
      <x:c r="R7" s="28" t="str">
        <x:v>STD-ISO-9237;PAPER-ADAMEK-2021;PAPER-KIM-2021</x:v>
      </x:c>
      <x:c r="S7" s="28" t="str">
        <x:v>出现黄金任务失败、真实反例或专业争议时立即复核；至少每12个月专家抽样复核</x:v>
      </x:c>
      <x:c r="T7" s="28" t="str">
        <x:v>review_candidate</x:v>
      </x:c>
    </x:row>
    <x:row r="8" ht="36" hidden="0" customHeight="1">
      <x:c r="A8" s="28" t="str">
        <x:v>A-MAT-004</x:v>
      </x:c>
      <x:c r="B8" s="28" t="str">
        <x:v>悬垂由重量、弯曲、剪切、结构和后整理共同决定</x:v>
      </x:c>
      <x:c r="C8" s="28" t="str">
        <x:v>A02</x:v>
      </x:c>
      <x:c r="D8" s="28" t="str">
        <x:v>A</x:v>
      </x:c>
      <x:c r="E8" s="28" t="str">
        <x:v>drape</x:v>
      </x:c>
      <x:c r="F8" s="28" t="str">
        <x:v>domain_knowledge</x:v>
      </x:c>
      <x:c r="G8" s="28" t="str">
        <x:v>commercial_core</x:v>
      </x:c>
      <x:c r="H8" s="28" t="str">
        <x:v>conditional_rule</x:v>
      </x:c>
      <x:c r="I8" s="28" t="str">
        <x:v>P1;P2;P5</x:v>
      </x:c>
      <x:c r="J8" s="28" t="str">
        <x:v>当面料在自重下容易弯曲并允许纱线/结构发生剪切变形时，通常更容易形成贴随身体或下垂的轮廓；重量增加并不必然带来更好悬垂。</x:v>
      </x:c>
      <x:c r="K8" s="28" t="str">
        <x:v>解释垂感、摆动、贴随和轮廓成形</x:v>
      </x:c>
      <x:c r="L8" s="28" t="str">
        <x:v>轮廓更容易下垂、流动或贴随曲面</x:v>
      </x:c>
      <x:c r="M8" s="28" t="str">
        <x:v>悬垂是自重、弯曲刚度、剪切刚度、组织紧密度和整理共同作用</x:v>
      </x:c>
      <x:c r="N8" s="28" t="str">
        <x:v>过软可能缺少支撑、贴附身体或失去轮廓；较重也可能增加拖坠</x:v>
      </x:c>
      <x:c r="O8" s="28" t="str">
        <x:v>复合、粘合、厚涂层或高刚度结构；只凭克重判断</x:v>
      </x:c>
      <x:c r="P8" s="28" t="str">
        <x:v>不得把“重=垂”“薄=飘”“真丝=一定垂”写成普遍事实。</x:v>
      </x:c>
      <x:c r="Q8" s="28" t="str">
        <x:v>conditional</x:v>
      </x:c>
      <x:c r="R8" s="28" t="str">
        <x:v>PAPER-BAI-2022;STD-ISO-5084;STD-ISO-139</x:v>
      </x:c>
      <x:c r="S8" s="28" t="str">
        <x:v>出现黄金任务失败、真实反例或专业争议时立即复核；至少每12个月专家抽样复核</x:v>
      </x:c>
      <x:c r="T8" s="28" t="str">
        <x:v>review_candidate</x:v>
      </x:c>
    </x:row>
    <x:row r="9" ht="36" hidden="0" customHeight="1">
      <x:c r="A9" s="28" t="str">
        <x:v>A-MAT-005</x:v>
      </x:c>
      <x:c r="B9" s="28" t="str">
        <x:v>厚度、挺括和硬度不能互相替代</x:v>
      </x:c>
      <x:c r="C9" s="28" t="str">
        <x:v>A02</x:v>
      </x:c>
      <x:c r="D9" s="28" t="str">
        <x:v>A</x:v>
      </x:c>
      <x:c r="E9" s="28" t="str">
        <x:v>stiffness_vs_thickness</x:v>
      </x:c>
      <x:c r="F9" s="28" t="str">
        <x:v>domain_knowledge</x:v>
      </x:c>
      <x:c r="G9" s="28" t="str">
        <x:v>commercial_core</x:v>
      </x:c>
      <x:c r="H9" s="28" t="str">
        <x:v>conditional_rule</x:v>
      </x:c>
      <x:c r="I9" s="28" t="str">
        <x:v>P1;P2;P5</x:v>
      </x:c>
      <x:c r="J9" s="28" t="str">
        <x:v>厚度增加可能改变支撑和体积，但面料是否挺括还取决于纤维、纱线、组织、密度、粘合和后整理；薄面料也可能硬，厚面料也可能软。</x:v>
      </x:c>
      <x:c r="K9" s="28" t="str">
        <x:v>解释挺括、轮廓保持和结构感</x:v>
      </x:c>
      <x:c r="L9" s="28" t="str">
        <x:v>可能增强轮廓支撑或空间感</x:v>
      </x:c>
      <x:c r="M9" s="28" t="str">
        <x:v>挺括反映对弯曲/形变的抵抗，厚度只是影响因素之一</x:v>
      </x:c>
      <x:c r="N9" s="28" t="str">
        <x:v>更挺可能减少贴随和活动自由；更厚可能增加体积和热感</x:v>
      </x:c>
      <x:c r="O9" s="28" t="str">
        <x:v>存在不同组织、树脂整理、复合或弹性结构；只有厚度/克重数据</x:v>
      </x:c>
      <x:c r="P9" s="28" t="str">
        <x:v>不得把“厚=挺”“轻=软”“双面=更硬”直接写入商品认知。</x:v>
      </x:c>
      <x:c r="Q9" s="28" t="str">
        <x:v>conditional</x:v>
      </x:c>
      <x:c r="R9" s="28" t="str">
        <x:v>STD-ISO-5084;PAPER-BAI-2022;STD-ASTM-D3776</x:v>
      </x:c>
      <x:c r="S9" s="28" t="str">
        <x:v>出现黄金任务失败、真实反例或专业争议时立即复核；至少每12个月专家抽样复核</x:v>
      </x:c>
      <x:c r="T9" s="28" t="str">
        <x:v>review_candidate</x:v>
      </x:c>
    </x:row>
    <x:row r="10" ht="36" hidden="0" customHeight="1">
      <x:c r="A10" s="28" t="str">
        <x:v>A-MAT-006</x:v>
      </x:c>
      <x:c r="B10" s="28" t="str">
        <x:v>起皱与回复取决于纤维、结构、整理、含湿和护理</x:v>
      </x:c>
      <x:c r="C10" s="28" t="str">
        <x:v>A02</x:v>
      </x:c>
      <x:c r="D10" s="28" t="str">
        <x:v>A</x:v>
      </x:c>
      <x:c r="E10" s="28" t="str">
        <x:v>wrinkle_behavior</x:v>
      </x:c>
      <x:c r="F10" s="28" t="str">
        <x:v>domain_knowledge</x:v>
      </x:c>
      <x:c r="G10" s="28" t="str">
        <x:v>commercial_core</x:v>
      </x:c>
      <x:c r="H10" s="28" t="str">
        <x:v>conditional_rule</x:v>
      </x:c>
      <x:c r="I10" s="28" t="str">
        <x:v>P1;P2</x:v>
      </x:c>
      <x:c r="J10" s="28" t="str">
        <x:v>面料受到弯折与压缩后是否明显起皱、能否回复，取决于纤维回复性、纱线和组织、后整理、湿热条件及洗护方式。</x:v>
      </x:c>
      <x:c r="K10" s="28" t="str">
        <x:v>解释易皱、打理成本和穿着预期</x:v>
      </x:c>
      <x:c r="L10" s="28" t="str">
        <x:v>可能更容易出现折痕，或在悬挂/蒸汽/时间后部分恢复</x:v>
      </x:c>
      <x:c r="M10" s="28" t="str">
        <x:v>皱褶是材料受变形后回复不足的可见结果，多因素共同决定</x:v>
      </x:c>
      <x:c r="N10" s="28" t="str">
        <x:v>抗皱整理可能影响手感、环保或耐久；不易皱也可能来自较硬结构</x:v>
      </x:c>
      <x:c r="O10" s="28" t="str">
        <x:v>未知染整、复合、护理条件或成衣结构；仅凭天然/合成分类</x:v>
      </x:c>
      <x:c r="P10" s="28" t="str">
        <x:v>不得写成“真丝都易皱”“聚酯永不皱”“天然纤维一定难打理”。</x:v>
      </x:c>
      <x:c r="Q10" s="28" t="str">
        <x:v>conditional</x:v>
      </x:c>
      <x:c r="R10" s="28" t="str">
        <x:v>STD-ISO-15487;STD-ISO-6330;STD-ISO-5077</x:v>
      </x:c>
      <x:c r="S10" s="28" t="str">
        <x:v>出现黄金任务失败、真实反例或专业争议时立即复核；至少每12个月专家抽样复核</x:v>
      </x:c>
      <x:c r="T10" s="28" t="str">
        <x:v>review_candidate</x:v>
      </x:c>
    </x:row>
    <x:row r="11" ht="36" hidden="0" customHeight="1">
      <x:c r="A11" s="28" t="str">
        <x:v>A-MAT-007</x:v>
      </x:c>
      <x:c r="B11" s="28" t="str">
        <x:v>表面光泽会随材质表面、组织、整理、光线和角度变化</x:v>
      </x:c>
      <x:c r="C11" s="28" t="str">
        <x:v>A02</x:v>
      </x:c>
      <x:c r="D11" s="28" t="str">
        <x:v>A</x:v>
      </x:c>
      <x:c r="E11" s="28" t="str">
        <x:v>surface_lustre</x:v>
      </x:c>
      <x:c r="F11" s="28" t="str">
        <x:v>domain_knowledge</x:v>
      </x:c>
      <x:c r="G11" s="28" t="str">
        <x:v>commercial_core</x:v>
      </x:c>
      <x:c r="H11" s="28" t="str">
        <x:v>conditional_rule</x:v>
      </x:c>
      <x:c r="I11" s="28" t="str">
        <x:v>P2;P5</x:v>
      </x:c>
      <x:c r="J11" s="28" t="str">
        <x:v>当表面更平滑、反射更集中或光线角度形成高光时，材质更容易成为视觉焦点；同一面料在不同光线和动作下可能呈现不同光泽。</x:v>
      </x:c>
      <x:c r="K11" s="28" t="str">
        <x:v>解释光泽、低调/醒目和镜头表现</x:v>
      </x:c>
      <x:c r="L11" s="28" t="str">
        <x:v>可能提高视觉突出度、强化轮廓起伏或显露褶皱</x:v>
      </x:c>
      <x:c r="M11" s="28" t="str">
        <x:v>光泽是表面反射、结构和观察条件共同形成的知觉结果</x:v>
      </x:c>
      <x:c r="N11" s="28" t="str">
        <x:v>强光泽可能暴露褶皱、贴附和表面不平，也可能与品牌审美冲突</x:v>
      </x:c>
      <x:c r="O11" s="28" t="str">
        <x:v>只有平面商品图或未知光线；将审美词当作客观功能</x:v>
      </x:c>
      <x:c r="P11" s="28" t="str">
        <x:v>不得把“哑光=高级”“有光泽=廉价/显胖”写成行业真理。</x:v>
      </x:c>
      <x:c r="Q11" s="28" t="str">
        <x:v>conditional</x:v>
      </x:c>
      <x:c r="R11" s="28" t="str">
        <x:v>CIE-EILV-COLOR;PAPER-WITZEL-2017;EXP-AB-STYLING-001</x:v>
      </x:c>
      <x:c r="S11" s="28" t="str">
        <x:v>出现黄金任务失败、真实反例或专业争议时立即复核；至少每12个月专家抽样复核</x:v>
      </x:c>
      <x:c r="T11" s="28" t="str">
        <x:v>review_candidate</x:v>
      </x:c>
    </x:row>
    <x:row r="12" ht="36" hidden="0" customHeight="1">
      <x:c r="A12" s="28" t="str">
        <x:v>A-STRUCT-001</x:v>
      </x:c>
      <x:c r="B12" s="28" t="str">
        <x:v>肩线位置和袖窿结构会改变肩部边界、量感与动作关系</x:v>
      </x:c>
      <x:c r="C12" s="28" t="str">
        <x:v>A03</x:v>
      </x:c>
      <x:c r="D12" s="28" t="str">
        <x:v>A</x:v>
      </x:c>
      <x:c r="E12" s="28" t="str">
        <x:v>shoulder_structure</x:v>
      </x:c>
      <x:c r="F12" s="28" t="str">
        <x:v>domain_knowledge</x:v>
      </x:c>
      <x:c r="G12" s="28" t="str">
        <x:v>commercial_core</x:v>
      </x:c>
      <x:c r="H12" s="28" t="str">
        <x:v>conditional_rule</x:v>
      </x:c>
      <x:c r="I12" s="28" t="str">
        <x:v>P1;P2;P5</x:v>
      </x:c>
      <x:c r="J12" s="28" t="str">
        <x:v>当肩线外移、袖窿加深或袖量增加时，肩部边界通常更柔和、量感更松；但具体视觉宽度与活动感还受面料、袖型、衣身宽度和身体条件影响。</x:v>
      </x:c>
      <x:c r="K12" s="28" t="str">
        <x:v>比较正肩、落肩及相关上装结构</x:v>
      </x:c>
      <x:c r="L12" s="28" t="str">
        <x:v>可能弱化清晰肩点、形成松弛量感或改变抬臂体验</x:v>
      </x:c>
      <x:c r="M12" s="28" t="str">
        <x:v>肩线、袖窿和袖量共同决定服装在肩臂周围的结构分配</x:v>
      </x:c>
      <x:c r="N12" s="28" t="str">
        <x:v>可能增加上身横向量感、袖下堆积或影响外套叠穿</x:v>
      </x:c>
      <x:c r="O12" s="28" t="str">
        <x:v>面料极软/极挺、肩宽差异大、袖窿和衣身结构未知</x:v>
      </x:c>
      <x:c r="P12" s="28" t="str">
        <x:v>不得把“落肩必显肩窄/必随性”“正肩必显精神”写成固定结论。</x:v>
      </x:c>
      <x:c r="Q12" s="28" t="str">
        <x:v>conditional</x:v>
      </x:c>
      <x:c r="R12" s="28" t="str">
        <x:v>EXP-AB-PATTERN-001;PAPER-LI-2024</x:v>
      </x:c>
      <x:c r="S12" s="28" t="str">
        <x:v>出现黄金任务失败、真实反例或专业争议时立即复核；至少每12个月专家抽样复核</x:v>
      </x:c>
      <x:c r="T12" s="28" t="str">
        <x:v>review_candidate</x:v>
      </x:c>
    </x:row>
    <x:row r="13" ht="24" hidden="0" customHeight="1">
      <x:c r="A13" s="28" t="str">
        <x:v>A-MEASURE-001</x:v>
      </x:c>
      <x:c r="B13" s="28" t="str">
        <x:v>单位面积质量与厚度是两个不同测量维度</x:v>
      </x:c>
      <x:c r="C13" s="28" t="str">
        <x:v>A04</x:v>
      </x:c>
      <x:c r="D13" s="28" t="str">
        <x:v>A</x:v>
      </x:c>
      <x:c r="E13" s="28" t="str">
        <x:v>fabric_measurement</x:v>
      </x:c>
      <x:c r="F13" s="28" t="str">
        <x:v>domain_knowledge</x:v>
      </x:c>
      <x:c r="G13" s="28" t="str">
        <x:v>commercial_core</x:v>
      </x:c>
      <x:c r="H13" s="28" t="str">
        <x:v>deterministic_fact</x:v>
      </x:c>
      <x:c r="I13" s="28" t="str">
        <x:v>P1;P2;P5</x:v>
      </x:c>
      <x:c r="J13" s="28" t="str">
        <x:v>织物单位面积质量通常以 g/m² 表达，厚度通常以 mm 等长度单位表达；二者不能互相替代，也不能仅凭一项推断另一项。</x:v>
      </x:c>
      <x:c r="K13" s="28" t="str">
        <x:v>织物物理参数</x:v>
      </x:c>
      <x:c r="L13" s="28" t="str"/>
      <x:c r="M13" s="28" t="str">
        <x:v>单位面积质量按规定面积称量；厚度按规定压力与接触条件测量。</x:v>
      </x:c>
      <x:c r="N13" s="28" t="str"/>
      <x:c r="O13" s="28" t="str"/>
      <x:c r="P13" s="28" t="str">
        <x:v>不得把“更重”直接写成“更厚、更暖、更挺”，也不得把“更薄”直接写成“更轻”。</x:v>
      </x:c>
      <x:c r="Q13" s="28" t="str">
        <x:v>assertive_within_scope</x:v>
      </x:c>
      <x:c r="R13" s="28" t="str">
        <x:v>STD-ASTM-D3776;STD-ISO-5084;STD-ISO-139</x:v>
      </x:c>
      <x:c r="S13" s="28" t="str">
        <x:v>标准版本变化时复核；无变化时每24个月抽样复核</x:v>
      </x:c>
      <x:c r="T13" s="28" t="str">
        <x:v>review_candidate</x:v>
      </x:c>
    </x:row>
    <x:row r="14" ht="24" hidden="0" customHeight="1">
      <x:c r="A14" s="28" t="str">
        <x:v>A-MEASURE-003</x:v>
      </x:c>
      <x:c r="B14" s="28" t="str">
        <x:v>人体尺寸与成衣尺寸必须分开</x:v>
      </x:c>
      <x:c r="C14" s="28" t="str">
        <x:v>A04</x:v>
      </x:c>
      <x:c r="D14" s="28" t="str">
        <x:v>A</x:v>
      </x:c>
      <x:c r="E14" s="28" t="str">
        <x:v>body_vs_garment_measurement</x:v>
      </x:c>
      <x:c r="F14" s="28" t="str">
        <x:v>domain_knowledge</x:v>
      </x:c>
      <x:c r="G14" s="28" t="str">
        <x:v>commercial_core</x:v>
      </x:c>
      <x:c r="H14" s="28" t="str">
        <x:v>deterministic_fact</x:v>
      </x:c>
      <x:c r="I14" s="28" t="str">
        <x:v>P1;P2</x:v>
      </x:c>
      <x:c r="J14" s="28" t="str">
        <x:v>人体测量描述身体，成衣测量描述服装；同名部位也可能使用不同起止点和松量关系，不能把二者当成同一个数值。</x:v>
      </x:c>
      <x:c r="K14" s="28" t="str">
        <x:v>号型、合身与商品参数解释</x:v>
      </x:c>
      <x:c r="L14" s="28" t="str"/>
      <x:c r="M14" s="28" t="str">
        <x:v>人体尺寸按人体测量定义；成衣尺寸按成衣测量点和方法记录。</x:v>
      </x:c>
      <x:c r="N14" s="28" t="str"/>
      <x:c r="O14" s="28" t="str"/>
      <x:c r="P14" s="28" t="str">
        <x:v>不得根据成衣胸围直接认定用户胸围，也不得把人体尺寸表当成某件商品尺寸表。</x:v>
      </x:c>
      <x:c r="Q14" s="28" t="str">
        <x:v>assertive_within_scope</x:v>
      </x:c>
      <x:c r="R14" s="28" t="str">
        <x:v>STD-ISO-8559-1;STD-ISO-8559-2;STD-ISO-18890</x:v>
      </x:c>
      <x:c r="S14" s="28" t="str">
        <x:v>标准版本变化时复核；无变化时每24个月抽样复核</x:v>
      </x:c>
      <x:c r="T14" s="28" t="str">
        <x:v>review_candidate</x:v>
      </x:c>
    </x:row>
    <x:row r="15" ht="36" hidden="0" customHeight="1">
      <x:c r="A15" s="28" t="str">
        <x:v>A-MEASURE-004</x:v>
      </x:c>
      <x:c r="B15" s="28" t="str">
        <x:v>成衣参数必须绑定明确测量点和方法</x:v>
      </x:c>
      <x:c r="C15" s="28" t="str">
        <x:v>A04</x:v>
      </x:c>
      <x:c r="D15" s="28" t="str">
        <x:v>A</x:v>
      </x:c>
      <x:c r="E15" s="28" t="str">
        <x:v>garment_measurement_method</x:v>
      </x:c>
      <x:c r="F15" s="28" t="str">
        <x:v>domain_knowledge</x:v>
      </x:c>
      <x:c r="G15" s="28" t="str">
        <x:v>commercial_core</x:v>
      </x:c>
      <x:c r="H15" s="28" t="str">
        <x:v>deterministic_fact</x:v>
      </x:c>
      <x:c r="I15" s="28" t="str">
        <x:v>P1;P2</x:v>
      </x:c>
      <x:c r="J15" s="28" t="str">
        <x:v>衣长、肩宽、袖长、胸围、腰围、裤长等参数只有在测量起点、终点、铺放状态和方法明确时才可比较。</x:v>
      </x:c>
      <x:c r="K15" s="28" t="str">
        <x:v>成衣尺寸参数</x:v>
      </x:c>
      <x:c r="L15" s="28" t="str"/>
      <x:c r="M15" s="28" t="str">
        <x:v>引用 ISO 18890 或品牌明确的等效测量口径；比较时使用相同口径。</x:v>
      </x:c>
      <x:c r="N15" s="28" t="str"/>
      <x:c r="O15" s="28" t="str"/>
      <x:c r="P15" s="28" t="str">
        <x:v>不得把不同品牌、不同品类或不同测量方法下的同名参数直接横向比较。</x:v>
      </x:c>
      <x:c r="Q15" s="28" t="str">
        <x:v>assertive_within_scope</x:v>
      </x:c>
      <x:c r="R15" s="28" t="str">
        <x:v>STD-ISO-18890</x:v>
      </x:c>
      <x:c r="S15" s="28" t="str">
        <x:v>标准版本变化时复核；无变化时每24个月抽样复核</x:v>
      </x:c>
      <x:c r="T15" s="28" t="str">
        <x:v>review_candidate</x:v>
      </x:c>
    </x:row>
    <x:row r="16" ht="24" hidden="0" customHeight="1">
      <x:c r="A16" s="28" t="str">
        <x:v>A-FIT-001</x:v>
      </x:c>
      <x:c r="B16" s="28" t="str">
        <x:v>松量是对应部位成衣尺寸与人体尺寸的差，不等于“宽松风格”</x:v>
      </x:c>
      <x:c r="C16" s="28" t="str">
        <x:v>A05</x:v>
      </x:c>
      <x:c r="D16" s="28" t="str">
        <x:v>A</x:v>
      </x:c>
      <x:c r="E16" s="28" t="str">
        <x:v>ease_definition</x:v>
      </x:c>
      <x:c r="F16" s="28" t="str">
        <x:v>domain_knowledge</x:v>
      </x:c>
      <x:c r="G16" s="28" t="str">
        <x:v>commercial_core</x:v>
      </x:c>
      <x:c r="H16" s="28" t="str">
        <x:v>deterministic_fact</x:v>
      </x:c>
      <x:c r="I16" s="28" t="str">
        <x:v>P1;P2;P5</x:v>
      </x:c>
      <x:c r="J16" s="28" t="str">
        <x:v>在对应部位，松量可用成衣尺寸与人体尺寸之差表达；功能松量用于呼吸和动作，造型松量用于形成轮廓，两者可能同时存在。</x:v>
      </x:c>
      <x:c r="K16" s="28" t="str">
        <x:v>合身、版型与活动关系</x:v>
      </x:c>
      <x:c r="L16" s="28" t="str"/>
      <x:c r="M16" s="28" t="str">
        <x:v>比较对应测量部位并说明材料弹性、结构和目标；不能只凭尺码标签判断。</x:v>
      </x:c>
      <x:c r="N16" s="28" t="str"/>
      <x:c r="O16" s="28" t="str"/>
      <x:c r="P16" s="28" t="str">
        <x:v>不得把正松量自动等同舒适，把负松量自动等同不合身，也不得把造型宽松当作功能松量充分。</x:v>
      </x:c>
      <x:c r="Q16" s="28" t="str">
        <x:v>assertive_within_scope</x:v>
      </x:c>
      <x:c r="R16" s="28" t="str">
        <x:v>STD-ISO-8559-1;STD-ISO-18890;PAPER-VESELA-2018;PAPER-RUDOLF-2021</x:v>
      </x:c>
      <x:c r="S16" s="28" t="str">
        <x:v>标准版本变化时复核；无变化时每24个月抽样复核</x:v>
      </x:c>
      <x:c r="T16" s="28" t="str">
        <x:v>review_candidate</x:v>
      </x:c>
    </x:row>
    <x:row r="17" ht="36" hidden="0" customHeight="1">
      <x:c r="A17" s="28" t="str">
        <x:v>A-FIT-002</x:v>
      </x:c>
      <x:c r="B17" s="28" t="str">
        <x:v>动作舒适取决于局部松量、结构、弹性和动作类型</x:v>
      </x:c>
      <x:c r="C17" s="28" t="str">
        <x:v>A05</x:v>
      </x:c>
      <x:c r="D17" s="28" t="str">
        <x:v>A</x:v>
      </x:c>
      <x:c r="E17" s="28" t="str">
        <x:v>movement_comfort</x:v>
      </x:c>
      <x:c r="F17" s="28" t="str">
        <x:v>domain_knowledge</x:v>
      </x:c>
      <x:c r="G17" s="28" t="str">
        <x:v>commercial_core</x:v>
      </x:c>
      <x:c r="H17" s="28" t="str">
        <x:v>conditional_rule</x:v>
      </x:c>
      <x:c r="I17" s="28" t="str">
        <x:v>P1;P2</x:v>
      </x:c>
      <x:c r="J17" s="28" t="str">
        <x:v>当关键关节附近具有足够局部松量、结构允许位移且材料有适当延伸/回复时，动作通常更自由；总围度大并不保证每个部位都好动。</x:v>
      </x:c>
      <x:c r="K17" s="28" t="str">
        <x:v>需要评估抬臂、坐下、弯腰、走动等动作</x:v>
      </x:c>
      <x:c r="L17" s="28" t="str">
        <x:v>减少牵扯、卡顿、局部压力或衣摆上窜</x:v>
      </x:c>
      <x:c r="M17" s="28" t="str">
        <x:v>动作会改变人体表面长度与局部体积，服装需要通过松量、结构或弹性适应</x:v>
      </x:c>
      <x:c r="N17" s="28" t="str">
        <x:v>增加松量可能改变轮廓和保暖空气层；高弹可能增加贴附和压力</x:v>
      </x:c>
      <x:c r="O17" s="28" t="str">
        <x:v>只看静态尺寸；局部结构、缝线或材料弹性未知</x:v>
      </x:c>
      <x:c r="P17" s="28" t="str">
        <x:v>不得用“宽松所以一定舒服”“含弹所以任何动作都行”替代实际动作判断。</x:v>
      </x:c>
      <x:c r="Q17" s="28" t="str">
        <x:v>conditional</x:v>
      </x:c>
      <x:c r="R17" s="28" t="str">
        <x:v>STD-ISO-20932-1;PAPER-RUDOLF-2021;PAPER-ZHANG-2024</x:v>
      </x:c>
      <x:c r="S17" s="28" t="str">
        <x:v>出现黄金任务失败、真实反例或专业争议时立即复核；至少每12个月专家抽样复核</x:v>
      </x:c>
      <x:c r="T17" s="28" t="str">
        <x:v>review_candidate</x:v>
      </x:c>
    </x:row>
    <x:row r="18" ht="36" hidden="0" customHeight="1">
      <x:c r="A18" s="28" t="str">
        <x:v>A-FIT-003</x:v>
      </x:c>
      <x:c r="B18" s="28" t="str">
        <x:v>静态合身检查不能替代动作检查</x:v>
      </x:c>
      <x:c r="C18" s="28" t="str">
        <x:v>A05</x:v>
      </x:c>
      <x:c r="D18" s="28" t="str">
        <x:v>A</x:v>
      </x:c>
      <x:c r="E18" s="28" t="str">
        <x:v>fit_evaluation</x:v>
      </x:c>
      <x:c r="F18" s="28" t="str">
        <x:v>domain_knowledge</x:v>
      </x:c>
      <x:c r="G18" s="28" t="str">
        <x:v>commercial_core</x:v>
      </x:c>
      <x:c r="H18" s="28" t="str">
        <x:v>conditional_rule</x:v>
      </x:c>
      <x:c r="I18" s="28" t="str">
        <x:v>P1;P2</x:v>
      </x:c>
      <x:c r="J18" s="28" t="str">
        <x:v>一件衣服站立时看似合身，坐、走、抬臂或弯腰时仍可能出现牵扯、压力、位移或暴露问题；合身判断应同时包含静态外观和任务相关动作。</x:v>
      </x:c>
      <x:c r="K18" s="28" t="str">
        <x:v>穿着任务包含明显动作或长时间姿势时</x:v>
      </x:c>
      <x:c r="L18" s="28" t="str">
        <x:v>更准确识别活动边界和真实穿着代价</x:v>
      </x:c>
      <x:c r="M18" s="28" t="str">
        <x:v>人体姿势变化会改变周长、长度和接触压力，服装与身体关系随之变化</x:v>
      </x:c>
      <x:c r="N18" s="28" t="str">
        <x:v>动作测试需要真实商品或合理模拟；不同任务的关键动作不同</x:v>
      </x:c>
      <x:c r="O18" s="28" t="str">
        <x:v>纯视觉概念内容、不涉及穿着选择；没有真实商品却声称已验证</x:v>
      </x:c>
      <x:c r="P18" s="28" t="str">
        <x:v>不得把一次站立试穿结果扩大为全天舒适或所有动作适合。</x:v>
      </x:c>
      <x:c r="Q18" s="28" t="str">
        <x:v>conditional</x:v>
      </x:c>
      <x:c r="R18" s="28" t="str">
        <x:v>PAPER-RUDOLF-2021;PAPER-ZHANG-2024;PAPER-VESELA-2018</x:v>
      </x:c>
      <x:c r="S18" s="28" t="str">
        <x:v>出现黄金任务失败、真实反例或专业争议时立即复核；至少每12个月专家抽样复核</x:v>
      </x:c>
      <x:c r="T18" s="28" t="str">
        <x:v>review_candidate</x:v>
      </x:c>
    </x:row>
    <x:row r="19" ht="24" hidden="0" customHeight="1">
      <x:c r="A19" s="28" t="str">
        <x:v>A-CATEGORY-001</x:v>
      </x:c>
      <x:c r="B19" s="28" t="str">
        <x:v>品类名称不能替代具体商品性能</x:v>
      </x:c>
      <x:c r="C19" s="28" t="str">
        <x:v>A06</x:v>
      </x:c>
      <x:c r="D19" s="28" t="str">
        <x:v>A</x:v>
      </x:c>
      <x:c r="E19" s="28" t="str">
        <x:v>garment_category</x:v>
      </x:c>
      <x:c r="F19" s="28" t="str">
        <x:v>domain_knowledge</x:v>
      </x:c>
      <x:c r="G19" s="28" t="str">
        <x:v>commercial_core</x:v>
      </x:c>
      <x:c r="H19" s="28" t="str">
        <x:v>conditional_rule</x:v>
      </x:c>
      <x:c r="I19" s="28" t="str">
        <x:v>P1;P2</x:v>
      </x:c>
      <x:c r="J19" s="28" t="str">
        <x:v>“风衣、针织衫、西装、羽绒服、衬衫”等品类名称只提供结构与使用惯例线索，不能单独证明防风、保暖、弹性、正式度或舒适性。</x:v>
      </x:c>
      <x:c r="K19" s="28" t="str">
        <x:v>需要解释某类服装通常承担什么任务，且具备具体商品结构信息时</x:v>
      </x:c>
      <x:c r="L19" s="28" t="str">
        <x:v>帮助建立合理预期，并避免只看品类名作选择</x:v>
      </x:c>
      <x:c r="M19" s="28" t="str">
        <x:v>同一品类内部可使用不同面料、结构、松量、里料和后整理，最终表现差异很大</x:v>
      </x:c>
      <x:c r="N19" s="28" t="str">
        <x:v>过度依赖通用分类会忽略商品专属取舍；过度强调例外又可能失去基本品类理解</x:v>
      </x:c>
      <x:c r="O19" s="28" t="str">
        <x:v>只有营销品类名，没有真实商品资料；试图用通用知识替代商品事实</x:v>
      </x:c>
      <x:c r="P19" s="28" t="str">
        <x:v>不得写成“风衣一定防风”“针织一定有弹”“西装一定正式”“羽绒服一定最暖”。</x:v>
      </x:c>
      <x:c r="Q19" s="28" t="str">
        <x:v>conditional</x:v>
      </x:c>
      <x:c r="R19" s="28" t="str">
        <x:v>STD-ASTM-D4850;PRJ-ADR-013;PRJ-ADR-014</x:v>
      </x:c>
      <x:c r="S19" s="28" t="str">
        <x:v>随品类知识批次和黄金任务复核；每12个月抽样检查误用</x:v>
      </x:c>
      <x:c r="T19" s="28" t="str">
        <x:v>review_candidate</x:v>
      </x:c>
    </x:row>
    <x:row r="20" ht="36" hidden="0" customHeight="1">
      <x:c r="A20" s="28" t="str">
        <x:v>A-CATEGORY-002</x:v>
      </x:c>
      <x:c r="B20" s="28" t="str">
        <x:v>品类适用性由任务、结构与环境共同决定</x:v>
      </x:c>
      <x:c r="C20" s="28" t="str">
        <x:v>A06</x:v>
      </x:c>
      <x:c r="D20" s="28" t="str">
        <x:v>A</x:v>
      </x:c>
      <x:c r="E20" s="28" t="str">
        <x:v>garment_category</x:v>
      </x:c>
      <x:c r="F20" s="28" t="str">
        <x:v>domain_knowledge</x:v>
      </x:c>
      <x:c r="G20" s="28" t="str">
        <x:v>professional_adjacent</x:v>
      </x:c>
      <x:c r="H20" s="28" t="str">
        <x:v>conditional_rule</x:v>
      </x:c>
      <x:c r="I20" s="28" t="str">
        <x:v>P1;P2;P4</x:v>
      </x:c>
      <x:c r="J20" s="28" t="str">
        <x:v>同一品类是否适合通勤、旅行、社交、照护或户外切换，应结合活动量、温差、关系距离、材料与结构，而不是由品类标签直接决定。</x:v>
      </x:c>
      <x:c r="K20" s="28" t="str">
        <x:v>用户需要把服装品类放入真实穿着路径中判断时</x:v>
      </x:c>
      <x:c r="L20" s="28" t="str">
        <x:v>把泛品类建议转成有条件的场景选择</x:v>
      </x:c>
      <x:c r="M20" s="28" t="str">
        <x:v>服装表现来自商品结构与穿着任务的匹配，品类只是初步检索入口</x:v>
      </x:c>
      <x:c r="N20" s="28" t="str">
        <x:v>满足多场景时可能牺牲某一单项极致表现；场景信息不足时只能给条件化方向</x:v>
      </x:c>
      <x:c r="O20" s="28" t="str">
        <x:v>存在明确着装制度或商品本身不具备所需结构；动态环境信息未知却被假定</x:v>
      </x:c>
      <x:c r="P20" s="28" t="str">
        <x:v>不得用“职业女性就穿西装”“旅行必须冲锋衣”“亲子场景只能穿耐脏休闲装”等模板代替真实任务。</x:v>
      </x:c>
      <x:c r="Q20" s="28" t="str">
        <x:v>conditional</x:v>
      </x:c>
      <x:c r="R20" s="28" t="str">
        <x:v>PAPER-HESTER-2023;PRJ-ADR-014;EXP-AB-STYLING-001</x:v>
      </x:c>
      <x:c r="S20" s="28" t="str">
        <x:v>随 P1/P4 场景黄金任务复核；每12个月抽样检查刻板化</x:v>
      </x:c>
      <x:c r="T20" s="28" t="str">
        <x:v>review_candidate</x:v>
      </x:c>
    </x:row>
    <x:row r="21" ht="36" hidden="0" customHeight="1">
      <x:c r="A21" s="28" t="str">
        <x:v>A-CARE-001</x:v>
      </x:c>
      <x:c r="B21" s="28" t="str">
        <x:v>具体商品洗护标签优先于通用纤维护理常识</x:v>
      </x:c>
      <x:c r="C21" s="28" t="str">
        <x:v>A07</x:v>
      </x:c>
      <x:c r="D21" s="28" t="str">
        <x:v>A</x:v>
      </x:c>
      <x:c r="E21" s="28" t="str">
        <x:v>care_label_priority</x:v>
      </x:c>
      <x:c r="F21" s="28" t="str">
        <x:v>domain_knowledge</x:v>
      </x:c>
      <x:c r="G21" s="28" t="str">
        <x:v>commercial_core</x:v>
      </x:c>
      <x:c r="H21" s="28" t="str">
        <x:v>deterministic_fact</x:v>
      </x:c>
      <x:c r="I21" s="28" t="str">
        <x:v>P1;P2</x:v>
      </x:c>
      <x:c r="J21" s="28" t="str">
        <x:v>通用材质知识只能提供理解与风险提示；实际护理应优先遵守该成品当前有效的洗护标签和品牌说明。</x:v>
      </x:c>
      <x:c r="K21" s="28" t="str">
        <x:v>已知具体商品的护理建议</x:v>
      </x:c>
      <x:c r="L21" s="28" t="str"/>
      <x:c r="M21" s="28" t="str">
        <x:v>按 ISO 3758 洗护符号及品牌当前说明解释，不擅自放宽处理条件。</x:v>
      </x:c>
      <x:c r="N21" s="28" t="str"/>
      <x:c r="O21" s="28" t="str"/>
      <x:c r="P21" s="28" t="str">
        <x:v>不得因为“羊毛通常怎样洗”“棉通常怎样洗”而覆盖具体成衣的结构、染整、辅料和标签要求。</x:v>
      </x:c>
      <x:c r="Q21" s="28" t="str">
        <x:v>assertive_within_scope</x:v>
      </x:c>
      <x:c r="R21" s="28" t="str">
        <x:v>STD-ISO-3758;STD-ASTM-D3938</x:v>
      </x:c>
      <x:c r="S21" s="28" t="str">
        <x:v>标准版本变化时复核；无变化时每24个月抽样复核</x:v>
      </x:c>
      <x:c r="T21" s="28" t="str">
        <x:v>review_candidate</x:v>
      </x:c>
    </x:row>
    <x:row r="22" ht="36" hidden="0" customHeight="1">
      <x:c r="A22" s="28" t="str">
        <x:v>A-CARE-002</x:v>
      </x:c>
      <x:c r="B22" s="28" t="str">
        <x:v>洗涤、机械作用、温度和干燥方式会共同影响尺寸与外观</x:v>
      </x:c>
      <x:c r="C22" s="28" t="str">
        <x:v>A07</x:v>
      </x:c>
      <x:c r="D22" s="28" t="str">
        <x:v>A</x:v>
      </x:c>
      <x:c r="E22" s="28" t="str">
        <x:v>washing_drying_effect</x:v>
      </x:c>
      <x:c r="F22" s="28" t="str">
        <x:v>domain_knowledge</x:v>
      </x:c>
      <x:c r="G22" s="28" t="str">
        <x:v>commercial_core</x:v>
      </x:c>
      <x:c r="H22" s="28" t="str">
        <x:v>conditional_rule</x:v>
      </x:c>
      <x:c r="I22" s="28" t="str">
        <x:v>P1;P2</x:v>
      </x:c>
      <x:c r="J22" s="28" t="str">
        <x:v>在可洗成衣中，洗涤程序、温度、机械作用、洗涤剂和干燥方式不同，可能造成不同的尺寸变化、平整度、折痕、起球或辅件外观。</x:v>
      </x:c>
      <x:c r="K22" s="28" t="str">
        <x:v>解释洗后变化和护理代价</x:v>
      </x:c>
      <x:c r="L22" s="28" t="str">
        <x:v>可能发生缩水、伸长、扭斜、起皱或表面变化</x:v>
      </x:c>
      <x:c r="M22" s="28" t="str">
        <x:v>纤维、结构、整理和成衣组件会对湿热和机械作用产生不同响应</x:v>
      </x:c>
      <x:c r="N22" s="28" t="str">
        <x:v>更温和处理可能增加时间和成本；某些变化不可逆</x:v>
      </x:c>
      <x:c r="O22" s="28" t="str">
        <x:v>未查看具体洗护标签；把实验程序直接等同家庭实际结果</x:v>
      </x:c>
      <x:c r="P22" s="28" t="str">
        <x:v>不得承诺某种材料“绝不缩水/绝不起球”；不得推荐超出标签的更激进处理。</x:v>
      </x:c>
      <x:c r="Q22" s="28" t="str">
        <x:v>conditional</x:v>
      </x:c>
      <x:c r="R22" s="28" t="str">
        <x:v>STD-ISO-6330;STD-ISO-5077;STD-ISO-15487;STD-ISO-3758</x:v>
      </x:c>
      <x:c r="S22" s="28" t="str">
        <x:v>出现黄金任务失败、真实反例或专业争议时立即复核；至少每12个月专家抽样复核</x:v>
      </x:c>
      <x:c r="T22" s="28" t="str">
        <x:v>review_candidate</x:v>
      </x:c>
    </x:row>
    <x:row r="23" ht="36" hidden="0" customHeight="1">
      <x:c r="A23" s="28" t="str">
        <x:v>A-TRANSLATE-001</x:v>
      </x:c>
      <x:c r="B23" s="28" t="str">
        <x:v>商品特征只能翻译为有条件的可感知影响，不能自动翻译成品牌动机</x:v>
      </x:c>
      <x:c r="C23" s="28" t="str">
        <x:v>A08</x:v>
      </x:c>
      <x:c r="D23" s="28" t="str">
        <x:v>A</x:v>
      </x:c>
      <x:c r="E23" s="28" t="str">
        <x:v>feature_to_value</x:v>
      </x:c>
      <x:c r="F23" s="28" t="str">
        <x:v>domain_knowledge</x:v>
      </x:c>
      <x:c r="G23" s="28" t="str">
        <x:v>commercial_core</x:v>
      </x:c>
      <x:c r="H23" s="28" t="str">
        <x:v>conditional_rule</x:v>
      </x:c>
      <x:c r="I23" s="28" t="str">
        <x:v>P1;P2;P5</x:v>
      </x:c>
      <x:c r="J23" s="28" t="str">
        <x:v>已知结构、材质或工艺可用于解释可能的穿着、使用或视觉影响；没有品牌确认理由时，只能说“这种特征通常可能带来什么”，不能说“品牌为了什么而设计”。</x:v>
      </x:c>
      <x:c r="K23" s="28" t="str">
        <x:v>从商品资料生成对外解释</x:v>
      </x:c>
      <x:c r="L23" s="28" t="str">
        <x:v>把参数转化为受众能理解的取舍与预期</x:v>
      </x:c>
      <x:c r="M23" s="28" t="str">
        <x:v>专业规律提供特征到结果的条件关系，品牌动机属于另一类专属事实</x:v>
      </x:c>
      <x:c r="N23" s="28" t="str">
        <x:v>条件性解释可能存在反例；品牌选择可能还有成本、供应链或审美理由</x:v>
      </x:c>
      <x:c r="O23" s="28" t="str">
        <x:v>商品特征本身未确认；将通用专业解释冒充品牌原意</x:v>
      </x:c>
      <x:c r="P23" s="28" t="str">
        <x:v>不得编造设计故事、研发目的、性能验证或“品牌专为某类人做”。</x:v>
      </x:c>
      <x:c r="Q23" s="28" t="str">
        <x:v>conditional</x:v>
      </x:c>
      <x:c r="R23" s="28" t="str">
        <x:v>PRJ-ADR-014;PRJ-ADR-013;EXP-AB-PATTERN-001</x:v>
      </x:c>
      <x:c r="S23" s="28" t="str">
        <x:v>出现黄金任务失败、真实反例或专业争议时立即复核；至少每12个月专家抽样复核</x:v>
      </x:c>
      <x:c r="T23" s="28" t="str">
        <x:v>review_candidate</x:v>
      </x:c>
    </x:row>
    <x:row r="24" ht="36" hidden="0" customHeight="1">
      <x:c r="A24" s="28" t="str">
        <x:v>B-PROP-001</x:v>
      </x:c>
      <x:c r="B24" s="28" t="str">
        <x:v>可见分割位置会改变整体比例的观看方式</x:v>
      </x:c>
      <x:c r="C24" s="28" t="str">
        <x:v>B01</x:v>
      </x:c>
      <x:c r="D24" s="28" t="str">
        <x:v>B</x:v>
      </x:c>
      <x:c r="E24" s="28" t="str">
        <x:v>visual_segmentation</x:v>
      </x:c>
      <x:c r="F24" s="28" t="str">
        <x:v>domain_knowledge</x:v>
      </x:c>
      <x:c r="G24" s="28" t="str">
        <x:v>commercial_core</x:v>
      </x:c>
      <x:c r="H24" s="28" t="str">
        <x:v>conditional_rule</x:v>
      </x:c>
      <x:c r="I24" s="28" t="str">
        <x:v>P1;P5</x:v>
      </x:c>
      <x:c r="J24" s="28" t="str">
        <x:v>当衣摆、腰线、色块或材质边界形成清晰横向分割时，受众会按该位置读取上下比例；效果受对比度、轮廓、动作和整体连续性影响。</x:v>
      </x:c>
      <x:c r="K24" s="28" t="str">
        <x:v>需要调整视觉重心或上下身比例时</x:v>
      </x:c>
      <x:c r="L24" s="28" t="str">
        <x:v>可能改变上身/下身的可见占比和注意分配</x:v>
      </x:c>
      <x:c r="M24" s="28" t="str">
        <x:v>清晰边界会把连续形体分段，分割位置与周围关系共同影响知觉</x:v>
      </x:c>
      <x:c r="N24" s="28" t="str">
        <x:v>更明显的分割也可能缩短某一段或强调局部宽度</x:v>
      </x:c>
      <x:c r="O24" s="28" t="str">
        <x:v>边界低对比、被外套遮挡、动作持续改变落点或整体轮廓更强</x:v>
      </x:c>
      <x:c r="P24" s="28" t="str">
        <x:v>不得把单一腰线位置写成“人人显高”；不得忽略鞋、下装和外套覆盖。</x:v>
      </x:c>
      <x:c r="Q24" s="28" t="str">
        <x:v>conditional</x:v>
      </x:c>
      <x:c r="R24" s="28" t="str">
        <x:v>CIE-EILV-COLOR;PAPER-HESTER-2023;EXP-AB-PATTERN-001</x:v>
      </x:c>
      <x:c r="S24" s="28" t="str">
        <x:v>出现黄金任务失败、真实反例或专业争议时立即复核；至少每12个月专家抽样复核</x:v>
      </x:c>
      <x:c r="T24" s="28" t="str">
        <x:v>review_candidate</x:v>
      </x:c>
    </x:row>
    <x:row r="25" ht="36" hidden="0" customHeight="1">
      <x:c r="A25" s="28" t="str">
        <x:v>B-PROP-002</x:v>
      </x:c>
      <x:c r="B25" s="28" t="str">
        <x:v>较短上装可能上移视觉重心，但需要上下装共同成立</x:v>
      </x:c>
      <x:c r="C25" s="28" t="str">
        <x:v>B01</x:v>
      </x:c>
      <x:c r="D25" s="28" t="str">
        <x:v>B</x:v>
      </x:c>
      <x:c r="E25" s="28" t="str">
        <x:v>short_top</x:v>
      </x:c>
      <x:c r="F25" s="28" t="str">
        <x:v>domain_knowledge</x:v>
      </x:c>
      <x:c r="G25" s="28" t="str">
        <x:v>commercial_core</x:v>
      </x:c>
      <x:c r="H25" s="28" t="str">
        <x:v>conditional_rule</x:v>
      </x:c>
      <x:c r="I25" s="28" t="str">
        <x:v>P1;P5</x:v>
      </x:c>
      <x:c r="J25" s="28" t="str">
        <x:v>当上装落点、下装腰线和整体量感协调时，较短上装可能上移视觉重心并增加下身可见长度；若落点或量感不合适，结果可能相反。</x:v>
      </x:c>
      <x:c r="K25" s="28" t="str">
        <x:v>目标是改变上下比例或减少上身拖坠时</x:v>
      </x:c>
      <x:c r="L25" s="28" t="str">
        <x:v>视觉重心上移、下身比例感增强</x:v>
      </x:c>
      <x:c r="M25" s="28" t="str">
        <x:v>较短上装改变上下身分割位置并减少上身纵向占比</x:v>
      </x:c>
      <x:c r="N25" s="28" t="str">
        <x:v>可能暴露腰腹、削弱包裹感或在最宽部位形成强分割</x:v>
      </x:c>
      <x:c r="O25" s="28" t="str">
        <x:v>下装腰线过低、上装落点不佳、内搭外露切割复杂或整体量感失衡</x:v>
      </x:c>
      <x:c r="P25" s="28" t="str">
        <x:v>不得写成“短款人人显高、梨形必选短款”。</x:v>
      </x:c>
      <x:c r="Q25" s="28" t="str">
        <x:v>conditional</x:v>
      </x:c>
      <x:c r="R25" s="28" t="str">
        <x:v>EXP-AB-PATTERN-001;PAPER-LI-2024</x:v>
      </x:c>
      <x:c r="S25" s="28" t="str">
        <x:v>出现黄金任务失败、真实反例或专业争议时立即复核；至少每12个月专家抽样复核</x:v>
      </x:c>
      <x:c r="T25" s="28" t="str">
        <x:v>review_candidate</x:v>
      </x:c>
    </x:row>
    <x:row r="26" ht="36" hidden="0" customHeight="1">
      <x:c r="A26" s="28" t="str">
        <x:v>B-PROP-003</x:v>
      </x:c>
      <x:c r="B26" s="28" t="str">
        <x:v>高对比下摆落在显著横向区域时，可能强化该处注意</x:v>
      </x:c>
      <x:c r="C26" s="28" t="str">
        <x:v>B01</x:v>
      </x:c>
      <x:c r="D26" s="28" t="str">
        <x:v>B</x:v>
      </x:c>
      <x:c r="E26" s="28" t="str">
        <x:v>hem_at_width</x:v>
      </x:c>
      <x:c r="F26" s="28" t="str">
        <x:v>domain_knowledge</x:v>
      </x:c>
      <x:c r="G26" s="28" t="str">
        <x:v>commercial_core</x:v>
      </x:c>
      <x:c r="H26" s="28" t="str">
        <x:v>conditional_rule</x:v>
      </x:c>
      <x:c r="I26" s="28" t="str">
        <x:v>P1;P5</x:v>
      </x:c>
      <x:c r="J26" s="28" t="str">
        <x:v>当下摆边界清晰且落在身体或下装轮廓的显著横向区域时，可能把注意集中到该处；面料、开合、层搭和动作会改变结果。</x:v>
      </x:c>
      <x:c r="K26" s="28" t="str">
        <x:v>判断衣长落点与局部视觉宽度时</x:v>
      </x:c>
      <x:c r="L26" s="28" t="str">
        <x:v>强化或弱化某个横向边界</x:v>
      </x:c>
      <x:c r="M26" s="28" t="str">
        <x:v>边缘与对比会形成视觉停顿，轮廓宽度和背景关系共同作用</x:v>
      </x:c>
      <x:c r="N26" s="28" t="str">
        <x:v>为了避开某一落点而改变长度，可能牺牲保暖、正式度或活动便利</x:v>
      </x:c>
      <x:c r="O26" s="28" t="str">
        <x:v>同色低对比、敞开穿形成纵向线、下摆高度随动作变化或外层遮挡</x:v>
      </x:c>
      <x:c r="P26" s="28" t="str">
        <x:v>不得简化成“衣摆绝不能到胯/小腿最粗处”；必须结合完整造型。</x:v>
      </x:c>
      <x:c r="Q26" s="28" t="str">
        <x:v>conditional</x:v>
      </x:c>
      <x:c r="R26" s="28" t="str">
        <x:v>CIE-EILV-COLOR;EXP-AB-PATTERN-001</x:v>
      </x:c>
      <x:c r="S26" s="28" t="str">
        <x:v>出现黄金任务失败、真实反例或专业争议时立即复核；至少每12个月专家抽样复核</x:v>
      </x:c>
      <x:c r="T26" s="28" t="str">
        <x:v>review_candidate</x:v>
      </x:c>
    </x:row>
    <x:row r="27" ht="36" hidden="0" customHeight="1">
      <x:c r="A27" s="28" t="str">
        <x:v>B-PROP-004</x:v>
      </x:c>
      <x:c r="B27" s="28" t="str">
        <x:v>纵向连续可以减少色块切割，但不能自动等同显高或显瘦</x:v>
      </x:c>
      <x:c r="C27" s="28" t="str">
        <x:v>B01</x:v>
      </x:c>
      <x:c r="D27" s="28" t="str">
        <x:v>B</x:v>
      </x:c>
      <x:c r="E27" s="28" t="str">
        <x:v>vertical_continuity</x:v>
      </x:c>
      <x:c r="F27" s="28" t="str">
        <x:v>domain_knowledge</x:v>
      </x:c>
      <x:c r="G27" s="28" t="str">
        <x:v>commercial_core</x:v>
      </x:c>
      <x:c r="H27" s="28" t="str">
        <x:v>conditional_rule</x:v>
      </x:c>
      <x:c r="I27" s="28" t="str">
        <x:v>P1;P5</x:v>
      </x:c>
      <x:c r="J27" s="28" t="str">
        <x:v>当颜色、开合、轮廓或线条形成连续纵向路径时，可能减少横向分段并引导纵向观看；宽度、版型、纹理和背景对比仍会改变效果。</x:v>
      </x:c>
      <x:c r="K27" s="28" t="str">
        <x:v>需要减少碎片化分割或建立纵向观看路径时</x:v>
      </x:c>
      <x:c r="L27" s="28" t="str">
        <x:v>整体更连贯，视觉路径更向上/下延伸</x:v>
      </x:c>
      <x:c r="M27" s="28" t="str">
        <x:v>连续线和低断裂关系减少显著横向停顿</x:v>
      </x:c>
      <x:c r="N27" s="28" t="str">
        <x:v>过度同色可能缺少层次；强纵纹或过长轮廓也可能增加压迫或暴露不合身</x:v>
      </x:c>
      <x:c r="O27" s="28" t="str">
        <x:v>轮廓过宽、材质高反光、横向结构更强或背景形成强切割</x:v>
      </x:c>
      <x:c r="P27" s="28" t="str">
        <x:v>不得把“竖条纹/同色系一定显高显瘦”写成确定事实。</x:v>
      </x:c>
      <x:c r="Q27" s="28" t="str">
        <x:v>conditional</x:v>
      </x:c>
      <x:c r="R27" s="28" t="str">
        <x:v>CIE-EILV-COLOR;EXP-AB-PATTERN-001</x:v>
      </x:c>
      <x:c r="S27" s="28" t="str">
        <x:v>出现黄金任务失败、真实反例或专业争议时立即复核；至少每12个月专家抽样复核</x:v>
      </x:c>
      <x:c r="T27" s="28" t="str">
        <x:v>review_candidate</x:v>
      </x:c>
    </x:row>
    <x:row r="28" ht="36" hidden="0" customHeight="1">
      <x:c r="A28" s="28" t="str">
        <x:v>B-SIL-001</x:v>
      </x:c>
      <x:c r="B28" s="28" t="str">
        <x:v>造型效果取决于量感分布，不只取决于宽松总量</x:v>
      </x:c>
      <x:c r="C28" s="28" t="str">
        <x:v>B02</x:v>
      </x:c>
      <x:c r="D28" s="28" t="str">
        <x:v>B</x:v>
      </x:c>
      <x:c r="E28" s="28" t="str">
        <x:v>volume_distribution</x:v>
      </x:c>
      <x:c r="F28" s="28" t="str">
        <x:v>domain_knowledge</x:v>
      </x:c>
      <x:c r="G28" s="28" t="str">
        <x:v>commercial_core</x:v>
      </x:c>
      <x:c r="H28" s="28" t="str">
        <x:v>conditional_rule</x:v>
      </x:c>
      <x:c r="I28" s="28" t="str">
        <x:v>P1;P2;P5</x:v>
      </x:c>
      <x:c r="J28" s="28" t="str">
        <x:v>同样的总体松量，若集中在肩、袖、腰、臀或下摆不同位置，会形成不同轮廓和动作感；判断应看量感在哪里、如何收束和如何移动。</x:v>
      </x:c>
      <x:c r="K28" s="28" t="str">
        <x:v>比较宽松、收束、廓形和局部体积时</x:v>
      </x:c>
      <x:c r="L28" s="28" t="str">
        <x:v>改变身体边界、视觉重心和动作空间</x:v>
      </x:c>
      <x:c r="M28" s="28" t="str">
        <x:v>局部结构与材料决定体积如何分布和保持</x:v>
      </x:c>
      <x:c r="N28" s="28" t="str">
        <x:v>某处获得空间可能在另一处增加视觉体积或降低利落度</x:v>
      </x:c>
      <x:c r="O28" s="28" t="str">
        <x:v>只看尺码标签、平铺胸围或“oversize”营销词</x:v>
      </x:c>
      <x:c r="P28" s="28" t="str">
        <x:v>不得把“宽松/修身”作为单一好坏或统一身材答案。</x:v>
      </x:c>
      <x:c r="Q28" s="28" t="str">
        <x:v>conditional</x:v>
      </x:c>
      <x:c r="R28" s="28" t="str">
        <x:v>PAPER-LI-2024;EXP-AB-PATTERN-001</x:v>
      </x:c>
      <x:c r="S28" s="28" t="str">
        <x:v>出现黄金任务失败、真实反例或专业争议时立即复核；至少每12个月专家抽样复核</x:v>
      </x:c>
      <x:c r="T28" s="28" t="str">
        <x:v>review_candidate</x:v>
      </x:c>
    </x:row>
    <x:row r="29" ht="36" hidden="0" customHeight="1">
      <x:c r="A29" s="28" t="str">
        <x:v>B-SIL-002</x:v>
      </x:c>
      <x:c r="B29" s="28" t="str">
        <x:v>宽松可以减少贴附，也可能增加整体视觉体积</x:v>
      </x:c>
      <x:c r="C29" s="28" t="str">
        <x:v>B02</x:v>
      </x:c>
      <x:c r="D29" s="28" t="str">
        <x:v>B</x:v>
      </x:c>
      <x:c r="E29" s="28" t="str">
        <x:v>oversize_tradeoff</x:v>
      </x:c>
      <x:c r="F29" s="28" t="str">
        <x:v>domain_knowledge</x:v>
      </x:c>
      <x:c r="G29" s="28" t="str">
        <x:v>commercial_core</x:v>
      </x:c>
      <x:c r="H29" s="28" t="str">
        <x:v>conditional_rule</x:v>
      </x:c>
      <x:c r="I29" s="28" t="str">
        <x:v>P1;P2;P5</x:v>
      </x:c>
      <x:c r="J29" s="28" t="str">
        <x:v>当衣身与身体之间增加空间时，可能减少贴附、增强安全感和活动余量；但过大的肩、长度、袖量或挺度也可能扩大轮廓或压低重心。</x:v>
      </x:c>
      <x:c r="K29" s="28" t="str">
        <x:v>用户以“遮、舒服、松弛”为目标时</x:v>
      </x:c>
      <x:c r="L29" s="28" t="str">
        <x:v>减少局部贴附并改变身体边界</x:v>
      </x:c>
      <x:c r="M29" s="28" t="str">
        <x:v>松量让面料离开身体，但服装自身轮廓仍会被看见</x:v>
      </x:c>
      <x:c r="N29" s="28" t="str">
        <x:v>可能显拖沓、影响叠穿、增加重量或减少结构感</x:v>
      </x:c>
      <x:c r="O29" s="28" t="str">
        <x:v>面料极垂、轮廓有明确收束、开合形成纵向路径；用户明确偏好大轮廓</x:v>
      </x:c>
      <x:c r="P29" s="28" t="str">
        <x:v>不得承诺“越宽松越遮”“大一号一定更显瘦”。</x:v>
      </x:c>
      <x:c r="Q29" s="28" t="str">
        <x:v>conditional</x:v>
      </x:c>
      <x:c r="R29" s="28" t="str">
        <x:v>PAPER-LI-2024;PAPER-VESELA-2018;EXP-AB-PATTERN-001</x:v>
      </x:c>
      <x:c r="S29" s="28" t="str">
        <x:v>出现黄金任务失败、真实反例或专业争议时立即复核；至少每12个月专家抽样复核</x:v>
      </x:c>
      <x:c r="T29" s="28" t="str">
        <x:v>review_candidate</x:v>
      </x:c>
    </x:row>
    <x:row r="30" ht="36" hidden="0" customHeight="1">
      <x:c r="A30" s="28" t="str">
        <x:v>B-SIL-003</x:v>
      </x:c>
      <x:c r="B30" s="28" t="str">
        <x:v>肩线与袖量共同决定上身视觉重音</x:v>
      </x:c>
      <x:c r="C30" s="28" t="str">
        <x:v>B02</x:v>
      </x:c>
      <x:c r="D30" s="28" t="str">
        <x:v>B</x:v>
      </x:c>
      <x:c r="E30" s="28" t="str">
        <x:v>shoulder_sleeve_emphasis</x:v>
      </x:c>
      <x:c r="F30" s="28" t="str">
        <x:v>domain_knowledge</x:v>
      </x:c>
      <x:c r="G30" s="28" t="str">
        <x:v>commercial_core</x:v>
      </x:c>
      <x:c r="H30" s="28" t="str">
        <x:v>conditional_rule</x:v>
      </x:c>
      <x:c r="I30" s="28" t="str">
        <x:v>P1;P2;P5</x:v>
      </x:c>
      <x:c r="J30" s="28" t="str">
        <x:v>清晰肩线、外移肩线、袖山高度、袖宽和袖口收束会共同改变上身边界与动作感；不能只看“正肩/落肩”一个标签。</x:v>
      </x:c>
      <x:c r="K30" s="28" t="str">
        <x:v>需要判断上身利落、松弛、力量感或量感时</x:v>
      </x:c>
      <x:c r="L30" s="28" t="str">
        <x:v>使注意落在肩部轮廓、袖部体积或动作延伸</x:v>
      </x:c>
      <x:c r="M30" s="28" t="str">
        <x:v>肩线和袖结构共同构成上身外轮廓</x:v>
      </x:c>
      <x:c r="N30" s="28" t="str">
        <x:v>强肩可能增加正式/力量感，也可能增加横向量感；大袖可能更松但影响外套叠穿</x:v>
      </x:c>
      <x:c r="O30" s="28" t="str">
        <x:v>面料极软或极挺、身体肩型差异大、袖窿结构未知</x:v>
      </x:c>
      <x:c r="P30" s="28" t="str">
        <x:v>不得把“正肩=显瘦”“落肩=显肩窄/休闲”写成固定答案。</x:v>
      </x:c>
      <x:c r="Q30" s="28" t="str">
        <x:v>conditional</x:v>
      </x:c>
      <x:c r="R30" s="28" t="str">
        <x:v>EXP-AB-PATTERN-001;PAPER-LI-2024</x:v>
      </x:c>
      <x:c r="S30" s="28" t="str">
        <x:v>出现黄金任务失败、真实反例或专业争议时立即复核；至少每12个月专家抽样复核</x:v>
      </x:c>
      <x:c r="T30" s="28" t="str">
        <x:v>review_candidate</x:v>
      </x:c>
    </x:row>
    <x:row r="31" ht="36" hidden="0" customHeight="1">
      <x:c r="A31" s="28" t="str">
        <x:v>B-SIL-004</x:v>
      </x:c>
      <x:c r="B31" s="28" t="str">
        <x:v>直筒、锥形和外扩轮廓会形成不同的收束与运动路径</x:v>
      </x:c>
      <x:c r="C31" s="28" t="str">
        <x:v>B02</x:v>
      </x:c>
      <x:c r="D31" s="28" t="str">
        <x:v>B</x:v>
      </x:c>
      <x:c r="E31" s="28" t="str">
        <x:v>lower_silhouette</x:v>
      </x:c>
      <x:c r="F31" s="28" t="str">
        <x:v>domain_knowledge</x:v>
      </x:c>
      <x:c r="G31" s="28" t="str">
        <x:v>commercial_core</x:v>
      </x:c>
      <x:c r="H31" s="28" t="str">
        <x:v>conditional_rule</x:v>
      </x:c>
      <x:c r="I31" s="28" t="str">
        <x:v>P1;P2;P5</x:v>
      </x:c>
      <x:c r="J31" s="28" t="str">
        <x:v>下装由上到下保持、收窄或外扩，会改变腿部边界、摆动和鞋面关系；效果还取决于长度、面料、腰臀合身和活动需求。</x:v>
      </x:c>
      <x:c r="K31" s="28" t="str">
        <x:v>比较裤装或裙装轮廓时</x:v>
      </x:c>
      <x:c r="L31" s="28" t="str">
        <x:v>形成连续、收束或外扩的视觉路径</x:v>
      </x:c>
      <x:c r="M31" s="28" t="str">
        <x:v>侧缝和下摆宽度决定轮廓随高度的变化</x:v>
      </x:c>
      <x:c r="N31" s="28" t="str">
        <x:v>收窄可能限制步幅或强调小腿/脚踝；外扩可能增加摆动和占地量感</x:v>
      </x:c>
      <x:c r="O31" s="28" t="str">
        <x:v>面料垂坠/挺括差异大、裤长堆积、鞋面遮挡或腰臀不合身</x:v>
      </x:c>
      <x:c r="P31" s="28" t="str">
        <x:v>不得把“直筒修饰所有腿型”“阔腿人人显瘦”作为结论。</x:v>
      </x:c>
      <x:c r="Q31" s="28" t="str">
        <x:v>conditional</x:v>
      </x:c>
      <x:c r="R31" s="28" t="str">
        <x:v>EXP-AB-PATTERN-001;PAPER-LI-2024</x:v>
      </x:c>
      <x:c r="S31" s="28" t="str">
        <x:v>出现黄金任务失败、真实反例或专业争议时立即复核；至少每12个月专家抽样复核</x:v>
      </x:c>
      <x:c r="T31" s="28" t="str">
        <x:v>review_candidate</x:v>
      </x:c>
    </x:row>
    <x:row r="32" ht="36" hidden="0" customHeight="1">
      <x:c r="A32" s="28" t="str">
        <x:v>B-COLOR-001</x:v>
      </x:c>
      <x:c r="B32" s="28" t="str">
        <x:v>色相、明度和彩度是不同的颜色知觉属性</x:v>
      </x:c>
      <x:c r="C32" s="28" t="str">
        <x:v>B03</x:v>
      </x:c>
      <x:c r="D32" s="28" t="str">
        <x:v>B</x:v>
      </x:c>
      <x:c r="E32" s="28" t="str">
        <x:v>color_attributes</x:v>
      </x:c>
      <x:c r="F32" s="28" t="str">
        <x:v>domain_knowledge</x:v>
      </x:c>
      <x:c r="G32" s="28" t="str">
        <x:v>commercial_core</x:v>
      </x:c>
      <x:c r="H32" s="28" t="str">
        <x:v>deterministic_fact</x:v>
      </x:c>
      <x:c r="I32" s="28" t="str">
        <x:v>P1;P2;P3;P4;P5</x:v>
      </x:c>
      <x:c r="J32" s="28" t="str">
        <x:v>色相回答更接近哪类颜色，明度/亮度回答看起来多亮，彩度/饱和度回答色彩感多强；三者变化产生不同视觉结果。</x:v>
      </x:c>
      <x:c r="K32" s="28" t="str">
        <x:v>服装色彩描述与组合</x:v>
      </x:c>
      <x:c r="L32" s="28" t="str"/>
      <x:c r="M32" s="28" t="str">
        <x:v>按 CIE 颜色知觉属性解释，不把“深/暗/灰/鲜”混作同一维度。</x:v>
      </x:c>
      <x:c r="N32" s="28" t="str"/>
      <x:c r="O32" s="28" t="str"/>
      <x:c r="P32" s="28" t="str">
        <x:v>不得用“低饱和=深色”“高明度=鲜艳”等混合概念；不得把审美评价写成颜色属性。</x:v>
      </x:c>
      <x:c r="Q32" s="28" t="str">
        <x:v>assertive_within_scope</x:v>
      </x:c>
      <x:c r="R32" s="28" t="str">
        <x:v>CIE-EILV-COLOR</x:v>
      </x:c>
      <x:c r="S32" s="28" t="str">
        <x:v>标准版本变化时复核；无变化时每24个月抽样复核</x:v>
      </x:c>
      <x:c r="T32" s="28" t="str">
        <x:v>review_candidate</x:v>
      </x:c>
    </x:row>
    <x:row r="33" ht="36" hidden="0" customHeight="1">
      <x:c r="A33" s="28" t="str">
        <x:v>B-COLOR-002</x:v>
      </x:c>
      <x:c r="B33" s="28" t="str">
        <x:v>颜色外观会随周围颜色、面积、光照和观察条件变化</x:v>
      </x:c>
      <x:c r="C33" s="28" t="str">
        <x:v>B03</x:v>
      </x:c>
      <x:c r="D33" s="28" t="str">
        <x:v>B</x:v>
      </x:c>
      <x:c r="E33" s="28" t="str">
        <x:v>color_context</x:v>
      </x:c>
      <x:c r="F33" s="28" t="str">
        <x:v>domain_knowledge</x:v>
      </x:c>
      <x:c r="G33" s="28" t="str">
        <x:v>commercial_core</x:v>
      </x:c>
      <x:c r="H33" s="28" t="str">
        <x:v>conditional_rule</x:v>
      </x:c>
      <x:c r="I33" s="28" t="str">
        <x:v>P1;P2;P5</x:v>
      </x:c>
      <x:c r="J33" s="28" t="str">
        <x:v>同一物体颜色在不同背景、面积、光线强度、色温和观察角度下可能被看成更亮、更暗、更鲜或偏向不同色相。</x:v>
      </x:c>
      <x:c r="K33" s="28" t="str">
        <x:v>需要判断实物颜色、搭配对比或镜头表现时</x:v>
      </x:c>
      <x:c r="L33" s="28" t="str">
        <x:v>改变颜色的相对突出度和综合色感</x:v>
      </x:c>
      <x:c r="M33" s="28" t="str">
        <x:v>颜色是知觉结果，受到刺激本身、周围、尺寸、适应和经验影响</x:v>
      </x:c>
      <x:c r="N33" s="28" t="str">
        <x:v>复杂光线可能造成画面与实物不一致；大面积色彩可能比小样更强</x:v>
      </x:c>
      <x:c r="O33" s="28" t="str">
        <x:v>只看未经校准的屏幕图片；背景和光照未知</x:v>
      </x:c>
      <x:c r="P33" s="28" t="str">
        <x:v>不得以一张图片保证真实色差；不得把环境造成的色偏写成商品本体颜色。</x:v>
      </x:c>
      <x:c r="Q33" s="28" t="str">
        <x:v>conditional</x:v>
      </x:c>
      <x:c r="R33" s="28" t="str">
        <x:v>CIE-EILV-COLOR;CIE-STIMULUS-SIZE;PAPER-WITZEL-2017</x:v>
      </x:c>
      <x:c r="S33" s="28" t="str">
        <x:v>出现黄金任务失败、真实反例或专业争议时立即复核；至少每12个月专家抽样复核</x:v>
      </x:c>
      <x:c r="T33" s="28" t="str">
        <x:v>review_candidate</x:v>
      </x:c>
    </x:row>
    <x:row r="34" ht="36" hidden="0" customHeight="1">
      <x:c r="A34" s="28" t="str">
        <x:v>B-COLOR-003</x:v>
      </x:c>
      <x:c r="B34" s="28" t="str">
        <x:v>高彩度或高对比色占据更大面积时通常更容易成为视觉重音</x:v>
      </x:c>
      <x:c r="C34" s="28" t="str">
        <x:v>B03</x:v>
      </x:c>
      <x:c r="D34" s="28" t="str">
        <x:v>B</x:v>
      </x:c>
      <x:c r="E34" s="28" t="str">
        <x:v>color_area_emphasis</x:v>
      </x:c>
      <x:c r="F34" s="28" t="str">
        <x:v>domain_knowledge</x:v>
      </x:c>
      <x:c r="G34" s="28" t="str">
        <x:v>commercial_core</x:v>
      </x:c>
      <x:c r="H34" s="28" t="str">
        <x:v>conditional_rule</x:v>
      </x:c>
      <x:c r="I34" s="28" t="str">
        <x:v>P1;P5</x:v>
      </x:c>
      <x:c r="J34" s="28" t="str">
        <x:v>当彩度、明度或色相对比显著且面积扩大时，色块通常更容易被先注意；但纹理、轮廓、光泽、位置和背景可改变主次。</x:v>
      </x:c>
      <x:c r="K34" s="28" t="str">
        <x:v>需要决定主色、点缀色或画面重音时</x:v>
      </x:c>
      <x:c r="L34" s="28" t="str">
        <x:v>强化某一部位、单品或视觉路径</x:v>
      </x:c>
      <x:c r="M34" s="28" t="str">
        <x:v>颜色差异和刺激面积共同影响显著性</x:v>
      </x:c>
      <x:c r="N34" s="28" t="str">
        <x:v>强色大面积可能压过人物、商品结构或品牌气质</x:v>
      </x:c>
      <x:c r="O34" s="28" t="str">
        <x:v>纹理/轮廓更强、光线不均、背景同色或受众注意被动作吸引</x:v>
      </x:c>
      <x:c r="P34" s="28" t="str">
        <x:v>不得把某种颜色固定为“显瘦/年轻/高级”；不得只靠字幕声明视觉重音。</x:v>
      </x:c>
      <x:c r="Q34" s="28" t="str">
        <x:v>conditional</x:v>
      </x:c>
      <x:c r="R34" s="28" t="str">
        <x:v>CIE-EILV-COLOR;CIE-STIMULUS-SIZE;EXP-AB-STYLING-001</x:v>
      </x:c>
      <x:c r="S34" s="28" t="str">
        <x:v>出现黄金任务失败、真实反例或专业争议时立即复核；至少每12个月专家抽样复核</x:v>
      </x:c>
      <x:c r="T34" s="28" t="str">
        <x:v>review_candidate</x:v>
      </x:c>
    </x:row>
    <x:row r="35" ht="36" hidden="0" customHeight="1">
      <x:c r="A35" s="28" t="str">
        <x:v>B-COLOR-004</x:v>
      </x:c>
      <x:c r="B35" s="28" t="str">
        <x:v>近似色或同色关系可减少色相切割，但不保证高级或显瘦</x:v>
      </x:c>
      <x:c r="C35" s="28" t="str">
        <x:v>B03</x:v>
      </x:c>
      <x:c r="D35" s="28" t="str">
        <x:v>B</x:v>
      </x:c>
      <x:c r="E35" s="28" t="str">
        <x:v>tonal_coordination</x:v>
      </x:c>
      <x:c r="F35" s="28" t="str">
        <x:v>domain_knowledge</x:v>
      </x:c>
      <x:c r="G35" s="28" t="str">
        <x:v>commercial_core</x:v>
      </x:c>
      <x:c r="H35" s="28" t="str">
        <x:v>conditional_rule</x:v>
      </x:c>
      <x:c r="I35" s="28" t="str">
        <x:v>P1;P5</x:v>
      </x:c>
      <x:c r="J35" s="28" t="str">
        <x:v>当多件单品在色相和明度上接近时，整体通常更连贯、色块切割更少；层次仍需依靠明度差、材质、轮廓或比例建立。</x:v>
      </x:c>
      <x:c r="K35" s="28" t="str">
        <x:v>需要连贯、安静或低色差组合时</x:v>
      </x:c>
      <x:c r="L35" s="28" t="str">
        <x:v>减少颜色分段并突出轮廓或材质差异</x:v>
      </x:c>
      <x:c r="M35" s="28" t="str">
        <x:v>色差降低后，其他视觉变量更容易承担层次</x:v>
      </x:c>
      <x:c r="N35" s="28" t="str">
        <x:v>过于接近可能显平、糊成一片或降低主体辨识</x:v>
      </x:c>
      <x:c r="O35" s="28" t="str">
        <x:v>材质和明度都相近、光线平、轮廓缺少层级</x:v>
      </x:c>
      <x:c r="P35" s="28" t="str">
        <x:v>不得写成“同色系天然高级/显瘦”；品牌可能明确偏好强对比。</x:v>
      </x:c>
      <x:c r="Q35" s="28" t="str">
        <x:v>conditional</x:v>
      </x:c>
      <x:c r="R35" s="28" t="str">
        <x:v>CIE-EILV-COLOR;EXP-AB-STYLING-001</x:v>
      </x:c>
      <x:c r="S35" s="28" t="str">
        <x:v>出现黄金任务失败、真实反例或专业争议时立即复核；至少每12个月专家抽样复核</x:v>
      </x:c>
      <x:c r="T35" s="28" t="str">
        <x:v>review_candidate</x:v>
      </x:c>
    </x:row>
    <x:row r="36" ht="36" hidden="0" customHeight="1">
      <x:c r="A36" s="28" t="str">
        <x:v>B-TEXTURE-001</x:v>
      </x:c>
      <x:c r="B36" s="28" t="str">
        <x:v>哑光与光泽表面对高光、褶皱和视觉突出度的影响依赖光线</x:v>
      </x:c>
      <x:c r="C36" s="28" t="str">
        <x:v>B04</x:v>
      </x:c>
      <x:c r="D36" s="28" t="str">
        <x:v>B</x:v>
      </x:c>
      <x:c r="E36" s="28" t="str">
        <x:v>matte_lustrous</x:v>
      </x:c>
      <x:c r="F36" s="28" t="str">
        <x:v>domain_knowledge</x:v>
      </x:c>
      <x:c r="G36" s="28" t="str">
        <x:v>commercial_core</x:v>
      </x:c>
      <x:c r="H36" s="28" t="str">
        <x:v>conditional_rule</x:v>
      </x:c>
      <x:c r="I36" s="28" t="str">
        <x:v>P1;P2;P5</x:v>
      </x:c>
      <x:c r="J36" s="28" t="str">
        <x:v>在同一光线下，反射更集中或更有光泽的表面通常更容易出现高光并吸引注意；哑光表面通常扩散反射，但不自动更低调或更显瘦。</x:v>
      </x:c>
      <x:c r="K36" s="28" t="str">
        <x:v>需要解释表面质感、镜头呈现和视觉重音时</x:v>
      </x:c>
      <x:c r="L36" s="28" t="str">
        <x:v>改变高光、纹理可见度和轮廓起伏</x:v>
      </x:c>
      <x:c r="M36" s="28" t="str">
        <x:v>表面结构与光线决定反射分布</x:v>
      </x:c>
      <x:c r="N36" s="28" t="str">
        <x:v>高光可能放大褶皱和贴附；哑光可能降低细节可见度</x:v>
      </x:c>
      <x:c r="O36" s="28" t="str">
        <x:v>光线、角度、后整理或实物表面未知</x:v>
      </x:c>
      <x:c r="P36" s="28" t="str">
        <x:v>不得把哑光/光泽与高级、廉价、显胖直接绑定。</x:v>
      </x:c>
      <x:c r="Q36" s="28" t="str">
        <x:v>conditional</x:v>
      </x:c>
      <x:c r="R36" s="28" t="str">
        <x:v>CIE-EILV-COLOR;PAPER-WITZEL-2017;EXP-AB-STYLING-001</x:v>
      </x:c>
      <x:c r="S36" s="28" t="str">
        <x:v>出现黄金任务失败、真实反例或专业争议时立即复核；至少每12个月专家抽样复核</x:v>
      </x:c>
      <x:c r="T36" s="28" t="str">
        <x:v>review_candidate</x:v>
      </x:c>
    </x:row>
    <x:row r="37" ht="24" hidden="0" customHeight="1">
      <x:c r="A37" s="28" t="str">
        <x:v>B-CREATIVE-001</x:v>
      </x:c>
      <x:c r="B37" s="28" t="str">
        <x:v>低色差中的材质对比可作为层次方向</x:v>
      </x:c>
      <x:c r="C37" s="28" t="str">
        <x:v>B04</x:v>
      </x:c>
      <x:c r="D37" s="28" t="str">
        <x:v>B</x:v>
      </x:c>
      <x:c r="E37" s="28" t="str">
        <x:v>texture_layering</x:v>
      </x:c>
      <x:c r="F37" s="28" t="str">
        <x:v>domain_knowledge</x:v>
      </x:c>
      <x:c r="G37" s="28" t="str">
        <x:v>commercial_core</x:v>
      </x:c>
      <x:c r="H37" s="28" t="str">
        <x:v>creative_candidate</x:v>
      </x:c>
      <x:c r="I37" s="28" t="str">
        <x:v>P1;P5</x:v>
      </x:c>
      <x:c r="J37" s="28" t="str">
        <x:v>当品牌希望画面克制而又不平时，可用相近色之间的粗细、软硬、哑光/微光和纹理尺度差异建立层次。</x:v>
      </x:c>
      <x:c r="K37" s="28" t="str">
        <x:v>相近色材质层次</x:v>
      </x:c>
      <x:c r="L37" s="28" t="str">
        <x:v>相近色材质层次</x:v>
      </x:c>
      <x:c r="M37" s="28" t="str">
        <x:v>粗/细纹理；软/硬结构；哑光/微光；透明/实密；大/小纹理尺度</x:v>
      </x:c>
      <x:c r="N37" s="28" t="str">
        <x:v>咖啡、报纸、逆光、毛衣纹理等被机械套用为“秋日高级”</x:v>
      </x:c>
      <x:c r="O37" s="28" t="str"/>
      <x:c r="P37" s="28" t="str">
        <x:v>这只是创意方向，不得冒充材质功能或品牌固定审美；具体商品必须真实具备相应表面。</x:v>
      </x:c>
      <x:c r="Q37" s="28" t="str">
        <x:v>optional_inspiration</x:v>
      </x:c>
      <x:c r="R37" s="28" t="str">
        <x:v>CIE-EILV-COLOR;EXP-AB-STYLING-001</x:v>
      </x:c>
      <x:c r="S37" s="28" t="str">
        <x:v>品牌冲突、模板化上升或审美疲劳时复核；不设固定真理有效期</x:v>
      </x:c>
      <x:c r="T37" s="28" t="str">
        <x:v>review_candidate</x:v>
      </x:c>
    </x:row>
    <x:row r="38" ht="36" hidden="0" customHeight="1">
      <x:c r="A38" s="28" t="str">
        <x:v>B-TPO-001</x:v>
      </x:c>
      <x:c r="B38" s="28" t="str">
        <x:v>正式度是剪裁、材质、整洁度、暴露程度、场景规则和关系共同形成的</x:v>
      </x:c>
      <x:c r="C38" s="28" t="str">
        <x:v>B05</x:v>
      </x:c>
      <x:c r="D38" s="28" t="str">
        <x:v>B</x:v>
      </x:c>
      <x:c r="E38" s="28" t="str">
        <x:v>formality</x:v>
      </x:c>
      <x:c r="F38" s="28" t="str">
        <x:v>domain_knowledge</x:v>
      </x:c>
      <x:c r="G38" s="28" t="str">
        <x:v>commercial_core</x:v>
      </x:c>
      <x:c r="H38" s="28" t="str">
        <x:v>conditional_rule</x:v>
      </x:c>
      <x:c r="I38" s="28" t="str">
        <x:v>P1;P2;P3;P4</x:v>
      </x:c>
      <x:c r="J38" s="28" t="str">
        <x:v>一件衣服是否适合正式场合，不能仅由黑色、西装领或某个品类决定；应结合组织文化、场地、角色、剪裁、材质、状态与搭配。</x:v>
      </x:c>
      <x:c r="K38" s="28" t="str">
        <x:v>会议、工作、仪式、社交等场合选择</x:v>
      </x:c>
      <x:c r="L38" s="28" t="str">
        <x:v>提高与场景预期、身份位置和关系距离的匹配</x:v>
      </x:c>
      <x:c r="M38" s="28" t="str">
        <x:v>正式度是社会情境与服装视觉/行为特征的综合判断</x:v>
      </x:c>
      <x:c r="N38" s="28" t="str">
        <x:v>过度正式可能增加距离感和行动负担；过度休闲可能削弱场合尊重</x:v>
      </x:c>
      <x:c r="O38" s="28" t="str">
        <x:v>明确着装制度已规定；当前场景是创意主题而非真实活动</x:v>
      </x:c>
      <x:c r="P38" s="28" t="str">
        <x:v>不得写成“正式场合必须黑色/西装”“针织一定不正式”。</x:v>
      </x:c>
      <x:c r="Q38" s="28" t="str">
        <x:v>conditional</x:v>
      </x:c>
      <x:c r="R38" s="28" t="str">
        <x:v>PAPER-HESTER-2023;EXP-AB-STYLING-001;PRJ-ADR-014</x:v>
      </x:c>
      <x:c r="S38" s="28" t="str">
        <x:v>出现黄金任务失败、真实反例或专业争议时立即复核；至少每12个月专家抽样复核</x:v>
      </x:c>
      <x:c r="T38" s="28" t="str">
        <x:v>review_candidate</x:v>
      </x:c>
    </x:row>
    <x:row r="39" ht="36" hidden="0" customHeight="1">
      <x:c r="A39" s="28" t="str">
        <x:v>B-TPO-002</x:v>
      </x:c>
      <x:c r="B39" s="28" t="str">
        <x:v>TPO 不只包含着装规范，还包含动作、气候、时间切换与关系距离</x:v>
      </x:c>
      <x:c r="C39" s="28" t="str">
        <x:v>B05</x:v>
      </x:c>
      <x:c r="D39" s="28" t="str">
        <x:v>B</x:v>
      </x:c>
      <x:c r="E39" s="28" t="str">
        <x:v>tpo_multifactor</x:v>
      </x:c>
      <x:c r="F39" s="28" t="str">
        <x:v>domain_knowledge</x:v>
      </x:c>
      <x:c r="G39" s="28" t="str">
        <x:v>professional_adjacent</x:v>
      </x:c>
      <x:c r="H39" s="28" t="str">
        <x:v>conditional_rule</x:v>
      </x:c>
      <x:c r="I39" s="28" t="str">
        <x:v>P1;P3;P4;P5</x:v>
      </x:c>
      <x:c r="J39" s="28" t="str">
        <x:v>同一场合中，通勤方式、久坐/走动、温差、照护任务、收纳和从一个身份切换到另一个身份，都会改变最合适的穿着选择。</x:v>
      </x:c>
      <x:c r="K39" s="28" t="str">
        <x:v>用户需要在多个现实任务之间切换时</x:v>
      </x:c>
      <x:c r="L39" s="28" t="str">
        <x:v>让选择同时满足体面、活动、舒适和转换效率</x:v>
      </x:c>
      <x:c r="M39" s="28" t="str">
        <x:v>服装任务由环境、身体动作、社会关系和时间路径共同构成</x:v>
      </x:c>
      <x:c r="N39" s="28" t="str">
        <x:v>兼顾越多任务，单项极致表现可能越少</x:v>
      </x:c>
      <x:c r="O39" s="28" t="str">
        <x:v>用户明确只追求某一个视觉目标；动态事实未知却被假定</x:v>
      </x:c>
      <x:c r="P39" s="28" t="str">
        <x:v>不得把目标人群标签替代真实场景；不得把“职业女性/宝妈”当固定答案。</x:v>
      </x:c>
      <x:c r="Q39" s="28" t="str">
        <x:v>conditional</x:v>
      </x:c>
      <x:c r="R39" s="28" t="str">
        <x:v>PAPER-HESTER-2023;EXP-AB-STYLING-001;PRJ-ADR-014</x:v>
      </x:c>
      <x:c r="S39" s="28" t="str">
        <x:v>出现黄金任务失败、真实反例或专业争议时立即复核；至少每12个月专家抽样复核</x:v>
      </x:c>
      <x:c r="T39" s="28" t="str">
        <x:v>review_candidate</x:v>
      </x:c>
    </x:row>
    <x:row r="40" ht="36" hidden="0" customHeight="1">
      <x:c r="A40" s="28" t="str">
        <x:v>B-LAYER-001</x:v>
      </x:c>
      <x:c r="B40" s="28" t="str">
        <x:v>层搭应先分配功能，再处理视觉关系</x:v>
      </x:c>
      <x:c r="C40" s="28" t="str">
        <x:v>B06</x:v>
      </x:c>
      <x:c r="D40" s="28" t="str">
        <x:v>B</x:v>
      </x:c>
      <x:c r="E40" s="28" t="str">
        <x:v>functional_layering</x:v>
      </x:c>
      <x:c r="F40" s="28" t="str">
        <x:v>domain_knowledge</x:v>
      </x:c>
      <x:c r="G40" s="28" t="str">
        <x:v>professional_adjacent</x:v>
      </x:c>
      <x:c r="H40" s="28" t="str">
        <x:v>conditional_rule</x:v>
      </x:c>
      <x:c r="I40" s="28" t="str">
        <x:v>P1;P2;P4;P5</x:v>
      </x:c>
      <x:c r="J40" s="28" t="str">
        <x:v>当穿着需要应对温差、风、湿度或室内外切换时，可把贴身管理、保温、外部防护和可脱卸调节分配给不同层；具体层数不是固定答案。</x:v>
      </x:c>
      <x:c r="K40" s="28" t="str">
        <x:v>存在温差、风、活动量或长时间室内外切换时</x:v>
      </x:c>
      <x:c r="L40" s="28" t="str">
        <x:v>提高调节性，并在环境变化时减少整套重换</x:v>
      </x:c>
      <x:c r="M40" s="28" t="str">
        <x:v>不同层可分别管理湿气、空气层、保温和外部交换</x:v>
      </x:c>
      <x:c r="N40" s="28" t="str">
        <x:v>层数增加可能影响活动、体积、穿脱时间和室内过热</x:v>
      </x:c>
      <x:c r="O40" s="28" t="str">
        <x:v>各层功能重复、外层压缩保温层、用户不便携带或环境事实未知</x:v>
      </x:c>
      <x:c r="P40" s="28" t="str">
        <x:v>不得把“三层法”机械套用所有场景；不得以纤维名替代真实层功能。</x:v>
      </x:c>
      <x:c r="Q40" s="28" t="str">
        <x:v>conditional</x:v>
      </x:c>
      <x:c r="R40" s="28" t="str">
        <x:v>STD-ISO-11092;PAPER-TEYEME-2020;PAPER-ZHANG-2024</x:v>
      </x:c>
      <x:c r="S40" s="28" t="str">
        <x:v>出现黄金任务失败、真实反例或专业争议时立即复核；至少每12个月专家抽样复核</x:v>
      </x:c>
      <x:c r="T40" s="28" t="str">
        <x:v>review_candidate</x:v>
      </x:c>
    </x:row>
    <x:row r="41" ht="36" hidden="0" customHeight="1">
      <x:c r="A41" s="28" t="str">
        <x:v>B-COMB-001</x:v>
      </x:c>
      <x:c r="B41" s="28" t="str">
        <x:v>替代选择应保留核心任务，而不是只换同品类</x:v>
      </x:c>
      <x:c r="C41" s="28" t="str">
        <x:v>B07</x:v>
      </x:c>
      <x:c r="D41" s="28" t="str">
        <x:v>B</x:v>
      </x:c>
      <x:c r="E41" s="28" t="str">
        <x:v>substitution_by_job</x:v>
      </x:c>
      <x:c r="F41" s="28" t="str">
        <x:v>domain_knowledge</x:v>
      </x:c>
      <x:c r="G41" s="28" t="str">
        <x:v>commercial_core</x:v>
      </x:c>
      <x:c r="H41" s="28" t="str">
        <x:v>conditional_rule</x:v>
      </x:c>
      <x:c r="I41" s="28" t="str">
        <x:v>P1;P2;P5</x:v>
      </x:c>
      <x:c r="J41" s="28" t="str">
        <x:v>当主选项不适用或不可得时，替代方向应继续解决同一穿着任务，例如正式度、保暖、活动、体积或视觉重心，而不必局限于同一种单品。</x:v>
      </x:c>
      <x:c r="K41" s="28" t="str">
        <x:v>需要给出替代、反选或一衣多用建议时</x:v>
      </x:c>
      <x:c r="L41" s="28" t="str">
        <x:v>在不同约束下仍保留用户最重要的目标</x:v>
      </x:c>
      <x:c r="M41" s="28" t="str">
        <x:v>商品类别只是实现任务的一种方式，功能与场景目标可以由不同组合完成</x:v>
      </x:c>
      <x:c r="N41" s="28" t="str">
        <x:v>替代可能牺牲原方案的审美、便利或品牌商品承接</x:v>
      </x:c>
      <x:c r="O41" s="28" t="str">
        <x:v>不存在真实替代空间；用户只要单品判断；库存/商品未知却强造具体替代</x:v>
      </x:c>
      <x:c r="P41" s="28" t="str">
        <x:v>不得为格式完整强制推荐第二件商品；不得把替代变成隐藏卖货清单。</x:v>
      </x:c>
      <x:c r="Q41" s="28" t="str">
        <x:v>conditional</x:v>
      </x:c>
      <x:c r="R41" s="28" t="str">
        <x:v>PRJ-ADR-013;PRJ-ADR-014;EXP-AB-STYLING-001</x:v>
      </x:c>
      <x:c r="S41" s="28" t="str">
        <x:v>出现黄金任务失败、真实反例或专业争议时立即复核；至少每12个月专家抽样复核</x:v>
      </x:c>
      <x:c r="T41" s="28" t="str">
        <x:v>review_candidate</x:v>
      </x:c>
    </x:row>
    <x:row r="42" ht="36" hidden="0" customHeight="1">
      <x:c r="A42" s="28" t="str">
        <x:v>B-COMB-002</x:v>
      </x:c>
      <x:c r="B42" s="28" t="str">
        <x:v>一个真实单品足以承载造型关系时，不应强迫增加其他商品</x:v>
      </x:c>
      <x:c r="C42" s="28" t="str">
        <x:v>B07</x:v>
      </x:c>
      <x:c r="D42" s="28" t="str">
        <x:v>B</x:v>
      </x:c>
      <x:c r="E42" s="28" t="str">
        <x:v>single_item_sufficiency</x:v>
      </x:c>
      <x:c r="F42" s="28" t="str">
        <x:v>domain_knowledge</x:v>
      </x:c>
      <x:c r="G42" s="28" t="str">
        <x:v>commercial_core</x:v>
      </x:c>
      <x:c r="H42" s="28" t="str">
        <x:v>conditional_rule</x:v>
      </x:c>
      <x:c r="I42" s="28" t="str">
        <x:v>P1;P5</x:v>
      </x:c>
      <x:c r="J42" s="28" t="str">
        <x:v>当一件商品通过正反面、开合、系束、卷折、动作或与身体/环境的关系已经形成清晰穿着可能时，可以只用这一件商品完成造型表达。</x:v>
      </x:c>
      <x:c r="K42" s="28" t="str">
        <x:v>单件商品具有可观察结构变化或本身就是造型命题核心时</x:v>
      </x:c>
      <x:c r="L42" s="28" t="str">
        <x:v>减少无关组合，让受众看清该商品与身体/动作的关系</x:v>
      </x:c>
      <x:c r="M42" s="28" t="str">
        <x:v>造型价值来自必要关系，不来自商品数量</x:v>
      </x:c>
      <x:c r="N42" s="28" t="str">
        <x:v>单件表达可能缺少场合、层次或完整搭配信息；需要时仍可加入支持单品</x:v>
      </x:c>
      <x:c r="O42" s="28" t="str">
        <x:v>主命题确实依赖上下装、鞋包或场景组合；用户要求完整搭配方案</x:v>
      </x:c>
      <x:c r="P42" s="28" t="str">
        <x:v>不得把本条误解为 P5 只能有一件商品、一个镜头或一种拍法。</x:v>
      </x:c>
      <x:c r="Q42" s="28" t="str">
        <x:v>conditional</x:v>
      </x:c>
      <x:c r="R42" s="28" t="str">
        <x:v>PRJ-P5-CD-20260721;EXP-AB-STYLING-001</x:v>
      </x:c>
      <x:c r="S42" s="28" t="str">
        <x:v>出现黄金任务失败、真实反例或专业争议时立即复核；至少每12个月专家抽样复核</x:v>
      </x:c>
      <x:c r="T42" s="28" t="str">
        <x:v>review_candidate</x:v>
      </x:c>
    </x:row>
    <x:row r="43" ht="36" hidden="0" customHeight="1">
      <x:c r="A43" s="28" t="str">
        <x:v>B-CREATIVE-002</x:v>
      </x:c>
      <x:c r="B43" s="28" t="str">
        <x:v>围绕一个主视觉重音组织轮廓、纹理或色块</x:v>
      </x:c>
      <x:c r="C43" s="28" t="str">
        <x:v>B08</x:v>
      </x:c>
      <x:c r="D43" s="28" t="str">
        <x:v>B</x:v>
      </x:c>
      <x:c r="E43" s="28" t="str">
        <x:v>dominant_visual_emphasis</x:v>
      </x:c>
      <x:c r="F43" s="28" t="str">
        <x:v>domain_knowledge</x:v>
      </x:c>
      <x:c r="G43" s="28" t="str">
        <x:v>commercial_core</x:v>
      </x:c>
      <x:c r="H43" s="28" t="str">
        <x:v>creative_candidate</x:v>
      </x:c>
      <x:c r="I43" s="28" t="str">
        <x:v>P5</x:v>
      </x:c>
      <x:c r="J43" s="28" t="str">
        <x:v>一个可选 P5 创作方向是先决定受众最先看见轮廓、纹理、色块或动作中的哪一项，其余元素只负责支持同一穿着可能。</x:v>
      </x:c>
      <x:c r="K43" s="28" t="str">
        <x:v>单一主视觉重音</x:v>
      </x:c>
      <x:c r="L43" s="28" t="str">
        <x:v>单一主视觉重音</x:v>
      </x:c>
      <x:c r="M43" s="28" t="str">
        <x:v>轮廓先到；纹理先到；色块先到；动作先到；材质反光先到</x:v>
      </x:c>
      <x:c r="N43" s="28" t="str">
        <x:v>把“动作节点换面”“炭灰=轮廓、格纹=纹理”固化为所有商品模板</x:v>
      </x:c>
      <x:c r="O43" s="28" t="str"/>
      <x:c r="P43" s="28" t="str">
        <x:v>这不是强制镜头清单；一条命题可以有多商品、多镜头和多种拍法，但都必须服务同一穿着可能。</x:v>
      </x:c>
      <x:c r="Q43" s="28" t="str">
        <x:v>optional_inspiration</x:v>
      </x:c>
      <x:c r="R43" s="28" t="str">
        <x:v>PRJ-P5-CD-20260721;CIE-EILV-COLOR;EXP-AB-STYLING-001</x:v>
      </x:c>
      <x:c r="S43" s="28" t="str">
        <x:v>品牌冲突、模板化上升或审美疲劳时复核；不设固定真理有效期</x:v>
      </x:c>
      <x:c r="T43" s="28" t="str">
        <x:v>review_candidate</x:v>
      </x:c>
    </x:row>
  </x:sheetData>
  <x:conditionalFormatting sqref="H2:H43">
    <x:cfRule type="expression" dxfId="0" priority="1">
      <x:formula>H2="deterministic_fact"</x:formula>
    </x:cfRule>
    <x:cfRule type="expression" dxfId="1" priority="2">
      <x:formula>H2="conditional_rule"</x:formula>
    </x:cfRule>
    <x:cfRule type="expression" dxfId="2" priority="3">
      <x:formula>H2="creative_candidate"</x:formula>
    </x:cfRule>
  </x:conditionalFormatting>
  <x:dataValidations count="1">
    <x:dataValidation type="list" sqref="T2:T43">
      <x:formula1>"review_candidate,active,deprecated"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3987115f83482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8" hidden="0" customWidth="1"/>
    <x:col min="4" max="4" width="18" hidden="0" customWidth="1"/>
    <x:col min="5" max="5" width="22" hidden="0" customWidth="1"/>
    <x:col min="6" max="6" width="12" hidden="0" customWidth="1"/>
    <x:col min="7" max="7" width="18" hidden="0" customWidth="1"/>
    <x:col min="8" max="8" width="18" hidden="0" customWidth="1"/>
    <x:col min="9" max="9" width="48" hidden="0" customWidth="1"/>
  </x:cols>
  <x:sheetData>
    <x:row r="1" ht="15" hidden="0" customHeight="1">
      <x:c r="A1" s="20" t="str">
        <x:v>需求ID</x:v>
      </x:c>
      <x:c r="B1" s="20" t="str">
        <x:v>主题</x:v>
      </x:c>
      <x:c r="C1" s="20" t="str">
        <x:v>范畴</x:v>
      </x:c>
      <x:c r="D1" s="20" t="str">
        <x:v>计划硬度</x:v>
      </x:c>
      <x:c r="E1" s="20" t="str">
        <x:v>主要消费产品</x:v>
      </x:c>
      <x:c r="F1" s="20" t="str">
        <x:v>候选卡数量</x:v>
      </x:c>
      <x:c r="G1" s="20" t="str">
        <x:v>覆盖状态</x:v>
      </x:c>
      <x:c r="H1" s="20" t="str">
        <x:v>本批处理</x:v>
      </x:c>
      <x:c r="I1" s="20" t="str">
        <x:v>备注</x:v>
      </x:c>
    </x:row>
    <x:row r="2" ht="15" hidden="0" customHeight="1">
      <x:c r="A2" s="28" t="str">
        <x:v>A01</x:v>
      </x:c>
      <x:c r="B2" s="28" t="str">
        <x:v>纤维、面料与材质术语</x:v>
      </x:c>
      <x:c r="C2" s="28" t="str">
        <x:v>A</x:v>
      </x:c>
      <x:c r="D2" s="28" t="str">
        <x:v>🟥为主</x:v>
      </x:c>
      <x:c r="E2" s="28" t="str">
        <x:v>P2/P1/P5</x:v>
      </x:c>
      <x:c r="F2" s="28" t="n">
        <x:f>COUNTIF('知识卡目录'!$C$2:$C$200,A2)</x:f>
        <x:v>2</x:v>
      </x:c>
      <x:c r="G2" s="28" t="str">
        <x:f>IF(F2&gt;0,"已覆盖首批切片","未覆盖")</x:f>
        <x:v>已覆盖首批切片</x:v>
      </x:c>
      <x:c r="H2" s="28" t="str">
        <x:v>本批首轮切片</x:v>
      </x:c>
      <x:c r="I2" s="28" t="str">
        <x:v>知识条目不是完整百科覆盖</x:v>
      </x:c>
    </x:row>
    <x:row r="3" ht="15" hidden="0" customHeight="1">
      <x:c r="A3" s="28" t="str">
        <x:v>A02</x:v>
      </x:c>
      <x:c r="B3" s="28" t="str">
        <x:v>材质行为与穿着表现</x:v>
      </x:c>
      <x:c r="C3" s="28" t="str">
        <x:v>A</x:v>
      </x:c>
      <x:c r="D3" s="28" t="str">
        <x:v>🟨为主</x:v>
      </x:c>
      <x:c r="E3" s="28" t="str">
        <x:v>P1/P2/P5</x:v>
      </x:c>
      <x:c r="F3" s="28" t="n">
        <x:f>COUNTIF('知识卡目录'!$C$2:$C$200,A3)</x:f>
        <x:v>8</x:v>
      </x:c>
      <x:c r="G3" s="28" t="str">
        <x:f>IF(F3&gt;0,"已覆盖首批切片","未覆盖")</x:f>
        <x:v>已覆盖首批切片</x:v>
      </x:c>
      <x:c r="H3" s="28" t="str">
        <x:v>本批首轮切片</x:v>
      </x:c>
      <x:c r="I3" s="28" t="str">
        <x:v>知识条目不是完整百科覆盖</x:v>
      </x:c>
    </x:row>
    <x:row r="4" ht="15" hidden="0" customHeight="1">
      <x:c r="A4" s="28" t="str">
        <x:v>A03</x:v>
      </x:c>
      <x:c r="B4" s="28" t="str">
        <x:v>服装结构、版型与工艺术语</x:v>
      </x:c>
      <x:c r="C4" s="28" t="str">
        <x:v>A</x:v>
      </x:c>
      <x:c r="D4" s="28" t="str">
        <x:v>🟥+🟨</x:v>
      </x:c>
      <x:c r="E4" s="28" t="str">
        <x:v>P1/P2/P5</x:v>
      </x:c>
      <x:c r="F4" s="28" t="n">
        <x:f>COUNTIF('知识卡目录'!$C$2:$C$200,A4)</x:f>
        <x:v>1</x:v>
      </x:c>
      <x:c r="G4" s="28" t="str">
        <x:f>IF(F4&gt;0,"已覆盖首批切片","未覆盖")</x:f>
        <x:v>已覆盖首批切片</x:v>
      </x:c>
      <x:c r="H4" s="28" t="str">
        <x:v>本批首轮切片</x:v>
      </x:c>
      <x:c r="I4" s="28" t="str">
        <x:v>知识条目不是完整百科覆盖</x:v>
      </x:c>
    </x:row>
    <x:row r="5" ht="15" hidden="0" customHeight="1">
      <x:c r="A5" s="28" t="str">
        <x:v>A04</x:v>
      </x:c>
      <x:c r="B5" s="28" t="str">
        <x:v>尺码维度与测量方法</x:v>
      </x:c>
      <x:c r="C5" s="28" t="str">
        <x:v>A</x:v>
      </x:c>
      <x:c r="D5" s="28" t="str">
        <x:v>🟥为主</x:v>
      </x:c>
      <x:c r="E5" s="28" t="str">
        <x:v>P1/P2</x:v>
      </x:c>
      <x:c r="F5" s="28" t="n">
        <x:f>COUNTIF('知识卡目录'!$C$2:$C$200,A5)</x:f>
        <x:v>3</x:v>
      </x:c>
      <x:c r="G5" s="28" t="str">
        <x:f>IF(F5&gt;0,"已覆盖首批切片","未覆盖")</x:f>
        <x:v>已覆盖首批切片</x:v>
      </x:c>
      <x:c r="H5" s="28" t="str">
        <x:v>本批首轮切片</x:v>
      </x:c>
      <x:c r="I5" s="28" t="str">
        <x:v>知识条目不是完整百科覆盖</x:v>
      </x:c>
    </x:row>
    <x:row r="6" ht="15" hidden="0" customHeight="1">
      <x:c r="A6" s="28" t="str">
        <x:v>A05</x:v>
      </x:c>
      <x:c r="B6" s="28" t="str">
        <x:v>合身、活动量与舒适边界</x:v>
      </x:c>
      <x:c r="C6" s="28" t="str">
        <x:v>A</x:v>
      </x:c>
      <x:c r="D6" s="28" t="str">
        <x:v>🟨为主</x:v>
      </x:c>
      <x:c r="E6" s="28" t="str">
        <x:v>P1/P2</x:v>
      </x:c>
      <x:c r="F6" s="28" t="n">
        <x:f>COUNTIF('知识卡目录'!$C$2:$C$200,A6)</x:f>
        <x:v>3</x:v>
      </x:c>
      <x:c r="G6" s="28" t="str">
        <x:f>IF(F6&gt;0,"已覆盖首批切片","未覆盖")</x:f>
        <x:v>已覆盖首批切片</x:v>
      </x:c>
      <x:c r="H6" s="28" t="str">
        <x:v>本批首轮切片</x:v>
      </x:c>
      <x:c r="I6" s="28" t="str">
        <x:v>知识条目不是完整百科覆盖</x:v>
      </x:c>
    </x:row>
    <x:row r="7" ht="15" hidden="0" customHeight="1">
      <x:c r="A7" s="28" t="str">
        <x:v>A06</x:v>
      </x:c>
      <x:c r="B7" s="28" t="str">
        <x:v>品类功能与使用边界</x:v>
      </x:c>
      <x:c r="C7" s="28" t="str">
        <x:v>A</x:v>
      </x:c>
      <x:c r="D7" s="28" t="str">
        <x:v>🟨为主</x:v>
      </x:c>
      <x:c r="E7" s="28" t="str">
        <x:v>P1/P2/P4</x:v>
      </x:c>
      <x:c r="F7" s="28" t="n">
        <x:f>COUNTIF('知识卡目录'!$C$2:$C$200,A7)</x:f>
        <x:v>2</x:v>
      </x:c>
      <x:c r="G7" s="28" t="str">
        <x:f>IF(F7&gt;0,"已覆盖首批切片","未覆盖")</x:f>
        <x:v>已覆盖首批切片</x:v>
      </x:c>
      <x:c r="H7" s="28" t="str">
        <x:v>本批首轮切片</x:v>
      </x:c>
      <x:c r="I7" s="28" t="str">
        <x:v>知识条目不是完整百科覆盖</x:v>
      </x:c>
    </x:row>
    <x:row r="8" ht="15" hidden="0" customHeight="1">
      <x:c r="A8" s="28" t="str">
        <x:v>A07</x:v>
      </x:c>
      <x:c r="B8" s="28" t="str">
        <x:v>洗护符号与基础护理</x:v>
      </x:c>
      <x:c r="C8" s="28" t="str">
        <x:v>A</x:v>
      </x:c>
      <x:c r="D8" s="28" t="str">
        <x:v>🟥+🟨</x:v>
      </x:c>
      <x:c r="E8" s="28" t="str">
        <x:v>P1/P2</x:v>
      </x:c>
      <x:c r="F8" s="28" t="n">
        <x:f>COUNTIF('知识卡目录'!$C$2:$C$200,A8)</x:f>
        <x:v>2</x:v>
      </x:c>
      <x:c r="G8" s="28" t="str">
        <x:f>IF(F8&gt;0,"已覆盖首批切片","未覆盖")</x:f>
        <x:v>已覆盖首批切片</x:v>
      </x:c>
      <x:c r="H8" s="28" t="str">
        <x:v>本批首轮切片</x:v>
      </x:c>
      <x:c r="I8" s="28" t="str">
        <x:v>知识条目不是完整百科覆盖</x:v>
      </x:c>
    </x:row>
    <x:row r="9" ht="15" hidden="0" customHeight="1">
      <x:c r="A9" s="28" t="str">
        <x:v>A08</x:v>
      </x:c>
      <x:c r="B9" s="28" t="str">
        <x:v>商品特征到可感知价值的翻译边界</x:v>
      </x:c>
      <x:c r="C9" s="28" t="str">
        <x:v>A</x:v>
      </x:c>
      <x:c r="D9" s="28" t="str">
        <x:v>🟨</x:v>
      </x:c>
      <x:c r="E9" s="28" t="str">
        <x:v>P2/P1/P5</x:v>
      </x:c>
      <x:c r="F9" s="28" t="n">
        <x:f>COUNTIF('知识卡目录'!$C$2:$C$200,A9)</x:f>
        <x:v>1</x:v>
      </x:c>
      <x:c r="G9" s="28" t="str">
        <x:f>IF(F9&gt;0,"已覆盖首批切片","未覆盖")</x:f>
        <x:v>已覆盖首批切片</x:v>
      </x:c>
      <x:c r="H9" s="28" t="str">
        <x:v>本批首轮切片</x:v>
      </x:c>
      <x:c r="I9" s="28" t="str">
        <x:v>知识条目不是完整百科覆盖</x:v>
      </x:c>
    </x:row>
    <x:row r="10" ht="15" hidden="0" customHeight="1">
      <x:c r="A10" s="28" t="str">
        <x:v>B01</x:v>
      </x:c>
      <x:c r="B10" s="28" t="str">
        <x:v>比例与视觉重心</x:v>
      </x:c>
      <x:c r="C10" s="28" t="str">
        <x:v>B</x:v>
      </x:c>
      <x:c r="D10" s="28" t="str">
        <x:v>🟨</x:v>
      </x:c>
      <x:c r="E10" s="28" t="str">
        <x:v>P1/P5</x:v>
      </x:c>
      <x:c r="F10" s="28" t="n">
        <x:f>COUNTIF('知识卡目录'!$C$2:$C$200,A10)</x:f>
        <x:v>4</x:v>
      </x:c>
      <x:c r="G10" s="28" t="str">
        <x:f>IF(F10&gt;0,"已覆盖首批切片","未覆盖")</x:f>
        <x:v>已覆盖首批切片</x:v>
      </x:c>
      <x:c r="H10" s="28" t="str">
        <x:v>本批首轮切片</x:v>
      </x:c>
      <x:c r="I10" s="28" t="str">
        <x:v>知识条目不是完整百科覆盖</x:v>
      </x:c>
    </x:row>
    <x:row r="11" ht="15" hidden="0" customHeight="1">
      <x:c r="A11" s="28" t="str">
        <x:v>B02</x:v>
      </x:c>
      <x:c r="B11" s="28" t="str">
        <x:v>轮廓、量感与身体/动作关系</x:v>
      </x:c>
      <x:c r="C11" s="28" t="str">
        <x:v>B</x:v>
      </x:c>
      <x:c r="D11" s="28" t="str">
        <x:v>🟨</x:v>
      </x:c>
      <x:c r="E11" s="28" t="str">
        <x:v>P1/P5</x:v>
      </x:c>
      <x:c r="F11" s="28" t="n">
        <x:f>COUNTIF('知识卡目录'!$C$2:$C$200,A11)</x:f>
        <x:v>4</x:v>
      </x:c>
      <x:c r="G11" s="28" t="str">
        <x:f>IF(F11&gt;0,"已覆盖首批切片","未覆盖")</x:f>
        <x:v>已覆盖首批切片</x:v>
      </x:c>
      <x:c r="H11" s="28" t="str">
        <x:v>本批首轮切片</x:v>
      </x:c>
      <x:c r="I11" s="28" t="str">
        <x:v>知识条目不是完整百科覆盖</x:v>
      </x:c>
    </x:row>
    <x:row r="12" ht="15" hidden="0" customHeight="1">
      <x:c r="A12" s="28" t="str">
        <x:v>B03</x:v>
      </x:c>
      <x:c r="B12" s="28" t="str">
        <x:v>色彩关系</x:v>
      </x:c>
      <x:c r="C12" s="28" t="str">
        <x:v>B</x:v>
      </x:c>
      <x:c r="D12" s="28" t="str">
        <x:v>🟥+🟨+🟩</x:v>
      </x:c>
      <x:c r="E12" s="28" t="str">
        <x:v>P1/P5</x:v>
      </x:c>
      <x:c r="F12" s="28" t="n">
        <x:f>COUNTIF('知识卡目录'!$C$2:$C$200,A12)</x:f>
        <x:v>4</x:v>
      </x:c>
      <x:c r="G12" s="28" t="str">
        <x:f>IF(F12&gt;0,"已覆盖首批切片","未覆盖")</x:f>
        <x:v>已覆盖首批切片</x:v>
      </x:c>
      <x:c r="H12" s="28" t="str">
        <x:v>本批首轮切片</x:v>
      </x:c>
      <x:c r="I12" s="28" t="str">
        <x:v>知识条目不是完整百科覆盖</x:v>
      </x:c>
    </x:row>
    <x:row r="13" ht="15" hidden="0" customHeight="1">
      <x:c r="A13" s="28" t="str">
        <x:v>B04</x:v>
      </x:c>
      <x:c r="B13" s="28" t="str">
        <x:v>材质、纹理与层次</x:v>
      </x:c>
      <x:c r="C13" s="28" t="str">
        <x:v>B</x:v>
      </x:c>
      <x:c r="D13" s="28" t="str">
        <x:v>🟨+🟩</x:v>
      </x:c>
      <x:c r="E13" s="28" t="str">
        <x:v>P5/P1/P2</x:v>
      </x:c>
      <x:c r="F13" s="28" t="n">
        <x:f>COUNTIF('知识卡目录'!$C$2:$C$200,A13)</x:f>
        <x:v>2</x:v>
      </x:c>
      <x:c r="G13" s="28" t="str">
        <x:f>IF(F13&gt;0,"已覆盖首批切片","未覆盖")</x:f>
        <x:v>已覆盖首批切片</x:v>
      </x:c>
      <x:c r="H13" s="28" t="str">
        <x:v>本批首轮切片</x:v>
      </x:c>
      <x:c r="I13" s="28" t="str">
        <x:v>知识条目不是完整百科覆盖</x:v>
      </x:c>
    </x:row>
    <x:row r="14" ht="15" hidden="0" customHeight="1">
      <x:c r="A14" s="28" t="str">
        <x:v>B05</x:v>
      </x:c>
      <x:c r="B14" s="28" t="str">
        <x:v>TPO、正式度与场合适配</x:v>
      </x:c>
      <x:c r="C14" s="28" t="str">
        <x:v>B</x:v>
      </x:c>
      <x:c r="D14" s="28" t="str">
        <x:v>🟨</x:v>
      </x:c>
      <x:c r="E14" s="28" t="str">
        <x:v>P1/共享</x:v>
      </x:c>
      <x:c r="F14" s="28" t="n">
        <x:f>COUNTIF('知识卡目录'!$C$2:$C$200,A14)</x:f>
        <x:v>2</x:v>
      </x:c>
      <x:c r="G14" s="28" t="str">
        <x:f>IF(F14&gt;0,"已覆盖首批切片","未覆盖")</x:f>
        <x:v>已覆盖首批切片</x:v>
      </x:c>
      <x:c r="H14" s="28" t="str">
        <x:v>本批首轮切片</x:v>
      </x:c>
      <x:c r="I14" s="28" t="str">
        <x:v>知识条目不是完整百科覆盖</x:v>
      </x:c>
    </x:row>
    <x:row r="15" ht="15" hidden="0" customHeight="1">
      <x:c r="A15" s="28" t="str">
        <x:v>B06</x:v>
      </x:c>
      <x:c r="B15" s="28" t="str">
        <x:v>气候、温差与层搭</x:v>
      </x:c>
      <x:c r="C15" s="28" t="str">
        <x:v>B</x:v>
      </x:c>
      <x:c r="D15" s="28" t="str">
        <x:v>🟨</x:v>
      </x:c>
      <x:c r="E15" s="28" t="str">
        <x:v>P1/P4/P5</x:v>
      </x:c>
      <x:c r="F15" s="28" t="n">
        <x:f>COUNTIF('知识卡目录'!$C$2:$C$200,A15)</x:f>
        <x:v>1</x:v>
      </x:c>
      <x:c r="G15" s="28" t="str">
        <x:f>IF(F15&gt;0,"已覆盖首批切片","未覆盖")</x:f>
        <x:v>已覆盖首批切片</x:v>
      </x:c>
      <x:c r="H15" s="28" t="str">
        <x:v>本批首轮切片</x:v>
      </x:c>
      <x:c r="I15" s="28" t="str">
        <x:v>知识条目不是完整百科覆盖</x:v>
      </x:c>
    </x:row>
    <x:row r="16" ht="15" hidden="0" customHeight="1">
      <x:c r="A16" s="28" t="str">
        <x:v>B07</x:v>
      </x:c>
      <x:c r="B16" s="28" t="str">
        <x:v>单品组合、替代与取舍</x:v>
      </x:c>
      <x:c r="C16" s="28" t="str">
        <x:v>B</x:v>
      </x:c>
      <x:c r="D16" s="28" t="str">
        <x:v>🟨+🟩</x:v>
      </x:c>
      <x:c r="E16" s="28" t="str">
        <x:v>P1/P2/P5</x:v>
      </x:c>
      <x:c r="F16" s="28" t="n">
        <x:f>COUNTIF('知识卡目录'!$C$2:$C$200,A16)</x:f>
        <x:v>2</x:v>
      </x:c>
      <x:c r="G16" s="28" t="str">
        <x:f>IF(F16&gt;0,"已覆盖首批切片","未覆盖")</x:f>
        <x:v>已覆盖首批切片</x:v>
      </x:c>
      <x:c r="H16" s="28" t="str">
        <x:v>本批首轮切片</x:v>
      </x:c>
      <x:c r="I16" s="28" t="str">
        <x:v>知识条目不是完整百科覆盖</x:v>
      </x:c>
    </x:row>
    <x:row r="17" ht="15" hidden="0" customHeight="1">
      <x:c r="A17" s="28" t="str">
        <x:v>B08</x:v>
      </x:c>
      <x:c r="B17" s="28" t="str">
        <x:v>可见造型命题与观看路径</x:v>
      </x:c>
      <x:c r="C17" s="28" t="str">
        <x:v>B</x:v>
      </x:c>
      <x:c r="D17" s="28" t="str">
        <x:v>🟨+🟩</x:v>
      </x:c>
      <x:c r="E17" s="28" t="str">
        <x:v>P5/共享</x:v>
      </x:c>
      <x:c r="F17" s="28" t="n">
        <x:f>COUNTIF('知识卡目录'!$C$2:$C$200,A17)</x:f>
        <x:v>1</x:v>
      </x:c>
      <x:c r="G17" s="28" t="str">
        <x:f>IF(F17&gt;0,"已覆盖首批切片","未覆盖")</x:f>
        <x:v>已覆盖首批切片</x:v>
      </x:c>
      <x:c r="H17" s="28" t="str">
        <x:v>本批首轮切片</x:v>
      </x:c>
      <x:c r="I17" s="28" t="str">
        <x:v>B08 已因 P5 关闭纳入；媒体规格仍留 D-032</x:v>
      </x:c>
    </x:row>
  </x:sheetData>
  <x:conditionalFormatting sqref="F2:F17">
    <x:cfRule type="dataBar" priority="1">
      <x:dataBar>
        <x:cfvo type="min"/>
        <x:cfvo type="max"/>
        <x:color rgb="FF2B6777"/>
      </x:dataBar>
      <x:extLst>
        <x:ext xmlns:x14="http://schemas.microsoft.com/office/spreadsheetml/2009/9/main" uri="{B025F937-C7B1-47D3-B67F-A62EFF666E3E}">
          <x14:id>{4E5E6790-279B-14BD-BFAD-75FEBBD00588}</x14:id>
        </x:ext>
      </x:extLst>
    </x:cfRule>
  </x:conditionalFormatting>
  <x:conditionalFormatting sqref="G2:G17">
    <x:cfRule type="expression" dxfId="3" priority="2">
      <x:formula>G2="已覆盖首批切片"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5391a65125415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5E6790-279B-14BD-BFAD-75FEBBD00588}">
            <x14:dataBar gradient="1">
              <x14:cfvo type="min"/>
              <x14:cfvo type="max"/>
              <x14:fillColor rgb="FF2B6777"/>
            </x14:dataBar>
          </x14:cfRule>
          <xm:sqref>F2:F17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6" hidden="0" customWidth="1"/>
    <x:col min="4" max="4" width="26" hidden="0" customWidth="1"/>
    <x:col min="5" max="5" width="18" hidden="0" customWidth="1"/>
    <x:col min="6" max="6" width="48" hidden="0" customWidth="1"/>
    <x:col min="7" max="7" width="58" hidden="0" customWidth="1"/>
    <x:col min="8" max="8" width="42" hidden="0" customWidth="1"/>
  </x:cols>
  <x:sheetData>
    <x:row r="1" ht="15" hidden="0" customHeight="1">
      <x:c r="A1" s="20" t="str">
        <x:v>source_id</x:v>
      </x:c>
      <x:c r="B1" s="20" t="str">
        <x:v>type</x:v>
      </x:c>
      <x:c r="C1" s="20" t="str">
        <x:v>title</x:v>
      </x:c>
      <x:c r="D1" s="20" t="str">
        <x:v>organization</x:v>
      </x:c>
      <x:c r="E1" s="20" t="str">
        <x:v>year</x:v>
      </x:c>
      <x:c r="F1" s="20" t="str">
        <x:v>use_scope</x:v>
      </x:c>
      <x:c r="G1" s="20" t="str">
        <x:v>url</x:v>
      </x:c>
      <x:c r="H1" s="20" t="str">
        <x:v>notes</x:v>
      </x:c>
    </x:row>
    <x:row r="2" ht="24" hidden="0" customHeight="1">
      <x:c r="A2" s="28" t="str">
        <x:v>STD-ASTM-D4850</x:v>
      </x:c>
      <x:c r="B2" s="28" t="str">
        <x:v>official_standard</x:v>
      </x:c>
      <x:c r="C2" s="28" t="str">
        <x:v>ASTM D4850-23 — Standard Terminology Relating to Fabrics and Fabric Test Methods</x:v>
      </x:c>
      <x:c r="D2" s="28" t="str">
        <x:v>ASTM International</x:v>
      </x:c>
      <x:c r="E2" s="28" t="str">
        <x:v>2023</x:v>
      </x:c>
      <x:c r="F2" s="28" t="str">
        <x:v>纺织品、织物和试验术语；用于术语层级与结构定义。</x:v>
      </x:c>
      <x:c r="G2" s="28" t="str">
        <x:v>https://store.astm.org/d4850-23.html</x:v>
      </x:c>
      <x:c r="H2" s="28" t="str">
        <x:v>标准全文可能需购买；本包只使用公开范围和术语框架。</x:v>
      </x:c>
    </x:row>
    <x:row r="3" ht="24" hidden="0" customHeight="1">
      <x:c r="A3" s="28" t="str">
        <x:v>STD-ASTM-D3776</x:v>
      </x:c>
      <x:c r="B3" s="28" t="str">
        <x:v>official_standard</x:v>
      </x:c>
      <x:c r="C3" s="28" t="str">
        <x:v>ASTM D3776/D3776M-20(2025) — Mass Per Unit Area (Weight) of Fabric</x:v>
      </x:c>
      <x:c r="D3" s="28" t="str">
        <x:v>ASTM International</x:v>
      </x:c>
      <x:c r="E3" s="28" t="str">
        <x:v>2025</x:v>
      </x:c>
      <x:c r="F3" s="28" t="str">
        <x:v>织物单位面积质量的测量概念。</x:v>
      </x:c>
      <x:c r="G3" s="28" t="str">
        <x:v>https://www.astm.org/d3776_d3776m-20.html</x:v>
      </x:c>
      <x:c r="H3" s="28" t="str"/>
    </x:row>
    <x:row r="4" ht="24" hidden="0" customHeight="1">
      <x:c r="A4" s="28" t="str">
        <x:v>STD-ISO-5084</x:v>
      </x:c>
      <x:c r="B4" s="28" t="str">
        <x:v>official_standard</x:v>
      </x:c>
      <x:c r="C4" s="28" t="str">
        <x:v>ISO 5084:1996 — Determination of thickness of textiles and textile products</x:v>
      </x:c>
      <x:c r="D4" s="28" t="str">
        <x:v>ISO</x:v>
      </x:c>
      <x:c r="E4" s="28" t="str">
        <x:v>1996; 2025 confirmed</x:v>
      </x:c>
      <x:c r="F4" s="28" t="str">
        <x:v>纺织品厚度的测量概念。</x:v>
      </x:c>
      <x:c r="G4" s="28" t="str">
        <x:v>https://www.iso.org/standard/23348.html</x:v>
      </x:c>
      <x:c r="H4" s="28" t="str"/>
    </x:row>
    <x:row r="5" ht="24" hidden="0" customHeight="1">
      <x:c r="A5" s="28" t="str">
        <x:v>STD-ISO-9237</x:v>
      </x:c>
      <x:c r="B5" s="28" t="str">
        <x:v>official_standard</x:v>
      </x:c>
      <x:c r="C5" s="28" t="str">
        <x:v>ISO 9237:1995 — Determination of the permeability of fabrics to air</x:v>
      </x:c>
      <x:c r="D5" s="28" t="str">
        <x:v>ISO</x:v>
      </x:c>
      <x:c r="E5" s="28" t="str">
        <x:v>1995; 2023 confirmed</x:v>
      </x:c>
      <x:c r="F5" s="28" t="str">
        <x:v>织物空气渗透率的测量概念。</x:v>
      </x:c>
      <x:c r="G5" s="28" t="str">
        <x:v>https://www.iso.org/standard/16869.html</x:v>
      </x:c>
      <x:c r="H5" s="28" t="str"/>
    </x:row>
    <x:row r="6" ht="24" hidden="0" customHeight="1">
      <x:c r="A6" s="28" t="str">
        <x:v>STD-ISO-11092</x:v>
      </x:c>
      <x:c r="B6" s="28" t="str">
        <x:v>official_standard</x:v>
      </x:c>
      <x:c r="C6" s="28" t="str">
        <x:v>ISO 11092:2026 — Measurement of thermal and water-vapour resistance</x:v>
      </x:c>
      <x:c r="D6" s="28" t="str">
        <x:v>ISO</x:v>
      </x:c>
      <x:c r="E6" s="28" t="str">
        <x:v>2026</x:v>
      </x:c>
      <x:c r="F6" s="28" t="str">
        <x:v>热阻与水蒸气阻力作为不同可测性能；标准本身不直接给出具体舒适结论。</x:v>
      </x:c>
      <x:c r="G6" s="28" t="str">
        <x:v>https://www.iso.org/standard/85998.html</x:v>
      </x:c>
      <x:c r="H6" s="28" t="str"/>
    </x:row>
    <x:row r="7" ht="24" hidden="0" customHeight="1">
      <x:c r="A7" s="28" t="str">
        <x:v>STD-ISO-8559-1</x:v>
      </x:c>
      <x:c r="B7" s="28" t="str">
        <x:v>official_standard</x:v>
      </x:c>
      <x:c r="C7" s="28" t="str">
        <x:v>ISO 8559-1:2017 — Anthropometric definitions for body measurement</x:v>
      </x:c>
      <x:c r="D7" s="28" t="str">
        <x:v>ISO</x:v>
      </x:c>
      <x:c r="E7" s="28" t="str">
        <x:v>2017; 2026 confirmed</x:v>
      </x:c>
      <x:c r="F7" s="28" t="str">
        <x:v>人体测量定义。</x:v>
      </x:c>
      <x:c r="G7" s="28" t="str">
        <x:v>https://www.iso.org/standard/61686.html</x:v>
      </x:c>
      <x:c r="H7" s="28" t="str"/>
    </x:row>
    <x:row r="8" ht="15" hidden="0" customHeight="1">
      <x:c r="A8" s="28" t="str">
        <x:v>STD-ISO-8559-2</x:v>
      </x:c>
      <x:c r="B8" s="28" t="str">
        <x:v>official_standard</x:v>
      </x:c>
      <x:c r="C8" s="28" t="str">
        <x:v>ISO 8559-2:2025 — Primary and secondary dimension indicators</x:v>
      </x:c>
      <x:c r="D8" s="28" t="str">
        <x:v>ISO</x:v>
      </x:c>
      <x:c r="E8" s="28" t="str">
        <x:v>2025</x:v>
      </x:c>
      <x:c r="F8" s="28" t="str">
        <x:v>服装号型尺寸指标与人体尺寸关系。</x:v>
      </x:c>
      <x:c r="G8" s="28" t="str">
        <x:v>https://www.iso.org/standard/85590.html</x:v>
      </x:c>
      <x:c r="H8" s="28" t="str"/>
    </x:row>
    <x:row r="9" ht="15" hidden="0" customHeight="1">
      <x:c r="A9" s="28" t="str">
        <x:v>STD-ISO-18890</x:v>
      </x:c>
      <x:c r="B9" s="28" t="str">
        <x:v>official_standard</x:v>
      </x:c>
      <x:c r="C9" s="28" t="str">
        <x:v>ISO 18890:2018 — Standard method of garment measurement</x:v>
      </x:c>
      <x:c r="D9" s="28" t="str">
        <x:v>ISO</x:v>
      </x:c>
      <x:c r="E9" s="28" t="str">
        <x:v>2018</x:v>
      </x:c>
      <x:c r="F9" s="28" t="str">
        <x:v>成衣关键测量点和测量方法。</x:v>
      </x:c>
      <x:c r="G9" s="28" t="str">
        <x:v>https://www.iso.org/standard/63693.html</x:v>
      </x:c>
      <x:c r="H9" s="28" t="str"/>
    </x:row>
    <x:row r="10" ht="15" hidden="0" customHeight="1">
      <x:c r="A10" s="28" t="str">
        <x:v>STD-ISO-20932-1</x:v>
      </x:c>
      <x:c r="B10" s="28" t="str">
        <x:v>official_standard</x:v>
      </x:c>
      <x:c r="C10" s="28" t="str">
        <x:v>ISO 20932-1:2018 — Determination of the elasticity of fabrics</x:v>
      </x:c>
      <x:c r="D10" s="28" t="str">
        <x:v>ISO</x:v>
      </x:c>
      <x:c r="E10" s="28" t="str">
        <x:v>2018</x:v>
      </x:c>
      <x:c r="F10" s="28" t="str">
        <x:v>织物弹性及相关性能的试验概念。</x:v>
      </x:c>
      <x:c r="G10" s="28" t="str">
        <x:v>https://www.iso.org/standard/69489.html</x:v>
      </x:c>
      <x:c r="H10" s="28" t="str"/>
    </x:row>
    <x:row r="11" ht="15" hidden="0" customHeight="1">
      <x:c r="A11" s="28" t="str">
        <x:v>STD-ISO-3758</x:v>
      </x:c>
      <x:c r="B11" s="28" t="str">
        <x:v>official_standard</x:v>
      </x:c>
      <x:c r="C11" s="28" t="str">
        <x:v>ISO 3758:2023 — Care labelling code using symbols</x:v>
      </x:c>
      <x:c r="D11" s="28" t="str">
        <x:v>ISO</x:v>
      </x:c>
      <x:c r="E11" s="28" t="str">
        <x:v>2023</x:v>
      </x:c>
      <x:c r="F11" s="28" t="str">
        <x:v>洗护符号及不造成不可逆损伤的最严处理信息。</x:v>
      </x:c>
      <x:c r="G11" s="28" t="str">
        <x:v>https://www.iso.org/standard/74401.html</x:v>
      </x:c>
      <x:c r="H11" s="28" t="str"/>
    </x:row>
    <x:row r="12" ht="24" hidden="0" customHeight="1">
      <x:c r="A12" s="28" t="str">
        <x:v>STD-ASTM-D3938</x:v>
      </x:c>
      <x:c r="B12" s="28" t="str">
        <x:v>official_standard</x:v>
      </x:c>
      <x:c r="C12" s="28" t="str">
        <x:v>ASTM D3938-18(2023) — Determining or Confirming Care Instructions</x:v>
      </x:c>
      <x:c r="D12" s="28" t="str">
        <x:v>ASTM International</x:v>
      </x:c>
      <x:c r="E12" s="28" t="str">
        <x:v>2023</x:v>
      </x:c>
      <x:c r="F12" s="28" t="str">
        <x:v>成衣及纺织品洗护说明的确定或确认。</x:v>
      </x:c>
      <x:c r="G12" s="28" t="str">
        <x:v>https://store.astm.org/d3938-18r23.html</x:v>
      </x:c>
      <x:c r="H12" s="28" t="str"/>
    </x:row>
    <x:row r="13" ht="24" hidden="0" customHeight="1">
      <x:c r="A13" s="28" t="str">
        <x:v>STD-ISO-6330</x:v>
      </x:c>
      <x:c r="B13" s="28" t="str">
        <x:v>official_standard</x:v>
      </x:c>
      <x:c r="C13" s="28" t="str">
        <x:v>ISO 6330:2021 — Domestic washing and drying procedures for textile testing</x:v>
      </x:c>
      <x:c r="D13" s="28" t="str">
        <x:v>ISO</x:v>
      </x:c>
      <x:c r="E13" s="28" t="str">
        <x:v>2021</x:v>
      </x:c>
      <x:c r="F13" s="28" t="str">
        <x:v>不同洗涤和干燥参数会影响测试结果。</x:v>
      </x:c>
      <x:c r="G13" s="28" t="str">
        <x:v>https://www.iso.org/standard/75934.html</x:v>
      </x:c>
      <x:c r="H13" s="28" t="str"/>
    </x:row>
    <x:row r="14" ht="24" hidden="0" customHeight="1">
      <x:c r="A14" s="28" t="str">
        <x:v>STD-ISO-5077</x:v>
      </x:c>
      <x:c r="B14" s="28" t="str">
        <x:v>official_standard</x:v>
      </x:c>
      <x:c r="C14" s="28" t="str">
        <x:v>ISO 5077:2007 — Determination of dimensional change in washing and drying</x:v>
      </x:c>
      <x:c r="D14" s="28" t="str">
        <x:v>ISO</x:v>
      </x:c>
      <x:c r="E14" s="28" t="str">
        <x:v>2007; 2022 confirmed</x:v>
      </x:c>
      <x:c r="F14" s="28" t="str">
        <x:v>洗涤、干燥后的尺寸变化。</x:v>
      </x:c>
      <x:c r="G14" s="28" t="str">
        <x:v>https://www.iso.org/standard/41877.html</x:v>
      </x:c>
      <x:c r="H14" s="28" t="str"/>
    </x:row>
    <x:row r="15" ht="24" hidden="0" customHeight="1">
      <x:c r="A15" s="28" t="str">
        <x:v>STD-ISO-15487</x:v>
      </x:c>
      <x:c r="B15" s="28" t="str">
        <x:v>official_standard</x:v>
      </x:c>
      <x:c r="C15" s="28" t="str">
        <x:v>ISO 15487:2018 — Assessing appearance after domestic washing and drying</x:v>
      </x:c>
      <x:c r="D15" s="28" t="str">
        <x:v>ISO</x:v>
      </x:c>
      <x:c r="E15" s="28" t="str">
        <x:v>2018</x:v>
      </x:c>
      <x:c r="F15" s="28" t="str">
        <x:v>洗后颜色、起球、毛羽、平整度、缝口、折痕和辅件外观。</x:v>
      </x:c>
      <x:c r="G15" s="28" t="str">
        <x:v>https://www.iso.org/standard/67602.html</x:v>
      </x:c>
      <x:c r="H15" s="28" t="str"/>
    </x:row>
    <x:row r="16" ht="24" hidden="0" customHeight="1">
      <x:c r="A16" s="28" t="str">
        <x:v>STD-ISO-139</x:v>
      </x:c>
      <x:c r="B16" s="28" t="str">
        <x:v>official_standard</x:v>
      </x:c>
      <x:c r="C16" s="28" t="str">
        <x:v>ISO 139:2005 — Standard atmospheres for conditioning and testing</x:v>
      </x:c>
      <x:c r="D16" s="28" t="str">
        <x:v>ISO</x:v>
      </x:c>
      <x:c r="E16" s="28" t="str">
        <x:v>2005; 2025 confirmed</x:v>
      </x:c>
      <x:c r="F16" s="28" t="str">
        <x:v>纺织物理性能测量对调湿与测试环境的依赖。</x:v>
      </x:c>
      <x:c r="G16" s="28" t="str">
        <x:v>https://www.iso.org/standard/35179.html</x:v>
      </x:c>
      <x:c r="H16" s="28" t="str"/>
    </x:row>
    <x:row r="17" ht="24" hidden="0" customHeight="1">
      <x:c r="A17" s="28" t="str">
        <x:v>CIE-EILV-COLOR</x:v>
      </x:c>
      <x:c r="B17" s="28" t="str">
        <x:v>official_definition</x:v>
      </x:c>
      <x:c r="C17" s="28" t="str">
        <x:v>CIE e-ILV — perceived colour / colour attributes</x:v>
      </x:c>
      <x:c r="D17" s="28" t="str">
        <x:v>International Commission on Illumination (CIE)</x:v>
      </x:c>
      <x:c r="E17" s="28" t="str">
        <x:v>current</x:v>
      </x:c>
      <x:c r="F17" s="28" t="str">
        <x:v>色相、明度/亮度、彩度/饱和度及颜色知觉的环境依赖。</x:v>
      </x:c>
      <x:c r="G17" s="28" t="str">
        <x:v>https://cie.co.at/eilv/198</x:v>
      </x:c>
      <x:c r="H17" s="28" t="str"/>
    </x:row>
    <x:row r="18" ht="15" hidden="0" customHeight="1">
      <x:c r="A18" s="28" t="str">
        <x:v>CIE-STIMULUS-SIZE</x:v>
      </x:c>
      <x:c r="B18" s="28" t="str">
        <x:v>official_report</x:v>
      </x:c>
      <x:c r="C18" s="28" t="str">
        <x:v>CIE — Effect of Stimulus Size on Colour Appearance</x:v>
      </x:c>
      <x:c r="D18" s="28" t="str">
        <x:v>CIE</x:v>
      </x:c>
      <x:c r="E18" s="28" t="str">
        <x:v>current report page</x:v>
      </x:c>
      <x:c r="F18" s="28" t="str">
        <x:v>颜色面积/刺激尺寸会改变知觉明度、彩度及色相。</x:v>
      </x:c>
      <x:c r="G18" s="28" t="str">
        <x:v>https://cie.co.at/publications/effect-stimulus-size-colour-appearance</x:v>
      </x:c>
      <x:c r="H18" s="28" t="str"/>
    </x:row>
    <x:row r="19" ht="24" hidden="0" customHeight="1">
      <x:c r="A19" s="28" t="str">
        <x:v>PAPER-TEYEME-2020</x:v>
      </x:c>
      <x:c r="B19" s="28" t="str">
        <x:v>research_paper</x:v>
      </x:c>
      <x:c r="C19" s="28" t="str">
        <x:v>Comparative Analysis of Thermophysiological Comfort Properties of Fabrics</x:v>
      </x:c>
      <x:c r="D19" s="28" t="str">
        <x:v>peer-reviewed research</x:v>
      </x:c>
      <x:c r="E19" s="28" t="str">
        <x:v>2020</x:v>
      </x:c>
      <x:c r="F19" s="28" t="str">
        <x:v>空气渗透、吸湿管理、干燥与热舒适表现之间并非单一变量关系。</x:v>
      </x:c>
      <x:c r="G19" s="28" t="str">
        <x:v>https://pmc.ncbi.nlm.nih.gov/articles/PMC7558677/</x:v>
      </x:c>
      <x:c r="H19" s="28" t="str"/>
    </x:row>
    <x:row r="20" ht="24" hidden="0" customHeight="1">
      <x:c r="A20" s="28" t="str">
        <x:v>PAPER-KIM-2021</x:v>
      </x:c>
      <x:c r="B20" s="28" t="str">
        <x:v>research_paper</x:v>
      </x:c>
      <x:c r="C20" s="28" t="str">
        <x:v>Moisture Vapor Permeability and Thermal Wear Comfort of Woven Fabrics</x:v>
      </x:c>
      <x:c r="D20" s="28" t="str">
        <x:v>peer-reviewed research</x:v>
      </x:c>
      <x:c r="E20" s="28" t="str">
        <x:v>2021</x:v>
      </x:c>
      <x:c r="F20" s="28" t="str">
        <x:v>纱线、织物结构与水蒸气/热舒适表现。</x:v>
      </x:c>
      <x:c r="G20" s="28" t="str">
        <x:v>https://pmc.ncbi.nlm.nih.gov/articles/PMC8539243/</x:v>
      </x:c>
      <x:c r="H20" s="28" t="str"/>
    </x:row>
    <x:row r="21" ht="15" hidden="0" customHeight="1">
      <x:c r="A21" s="28" t="str">
        <x:v>PAPER-ADAMEK-2021</x:v>
      </x:c>
      <x:c r="B21" s="28" t="str">
        <x:v>research_paper</x:v>
      </x:c>
      <x:c r="C21" s="28" t="str">
        <x:v>Correlation of Air Permeability to Other Breathability Parameters</x:v>
      </x:c>
      <x:c r="D21" s="28" t="str">
        <x:v>peer-reviewed research</x:v>
      </x:c>
      <x:c r="E21" s="28" t="str">
        <x:v>2021</x:v>
      </x:c>
      <x:c r="F21" s="28" t="str">
        <x:v>空气渗透率与其他透湿/舒适指标相关但不可视为同一指标。</x:v>
      </x:c>
      <x:c r="G21" s="28" t="str">
        <x:v>https://pmc.ncbi.nlm.nih.gov/articles/PMC8747439/</x:v>
      </x:c>
      <x:c r="H21" s="28" t="str"/>
    </x:row>
    <x:row r="22" ht="24" hidden="0" customHeight="1">
      <x:c r="A22" s="28" t="str">
        <x:v>PAPER-BAI-2022</x:v>
      </x:c>
      <x:c r="B22" s="28" t="str">
        <x:v>research_paper</x:v>
      </x:c>
      <x:c r="C22" s="28" t="str">
        <x:v>Physics-based evaluation of the drapability of textile materials</x:v>
      </x:c>
      <x:c r="D22" s="28" t="str">
        <x:v>peer-reviewed research</x:v>
      </x:c>
      <x:c r="E22" s="28" t="str">
        <x:v>2022</x:v>
      </x:c>
      <x:c r="F22" s="28" t="str">
        <x:v>弯曲与剪切刚度对悬垂/成形的影响。</x:v>
      </x:c>
      <x:c r="G22" s="28" t="str">
        <x:v>https://www.sciencedirect.com/science/article/abs/pii/S1359836822004656</x:v>
      </x:c>
      <x:c r="H22" s="28" t="str">
        <x:v>研究对象含工程纺织材料；只用于力学关系，不直接外推具体成衣审美结论。</x:v>
      </x:c>
    </x:row>
    <x:row r="23" ht="15" hidden="0" customHeight="1">
      <x:c r="A23" s="28" t="str">
        <x:v>PAPER-LI-2024</x:v>
      </x:c>
      <x:c r="B23" s="28" t="str">
        <x:v>research_paper</x:v>
      </x:c>
      <x:c r="C23" s="28" t="str">
        <x:v>Tailoring Garment Fit for Personalized Body Image</x:v>
      </x:c>
      <x:c r="D23" s="28" t="str">
        <x:v>peer-reviewed research</x:v>
      </x:c>
      <x:c r="E23" s="28" t="str">
        <x:v>2024</x:v>
      </x:c>
      <x:c r="F23" s="28" t="str">
        <x:v>服装松量对身体尺度知觉的作用随人体指标而变化。</x:v>
      </x:c>
      <x:c r="G23" s="28" t="str">
        <x:v>https://www.mdpi.com/0718-1876/19/2/49</x:v>
      </x:c>
      <x:c r="H23" s="28" t="str"/>
    </x:row>
    <x:row r="24" ht="15" hidden="0" customHeight="1">
      <x:c r="A24" s="28" t="str">
        <x:v>PAPER-VESELA-2018</x:v>
      </x:c>
      <x:c r="B24" s="28" t="str">
        <x:v>research_paper</x:v>
      </x:c>
      <x:c r="C24" s="28" t="str">
        <x:v>Local clothing thermal properties of typical office ensembles</x:v>
      </x:c>
      <x:c r="D24" s="28" t="str">
        <x:v>peer-reviewed research</x:v>
      </x:c>
      <x:c r="E24" s="28" t="str">
        <x:v>2018</x:v>
      </x:c>
      <x:c r="F24" s="28" t="str">
        <x:v>松量/空气层与局部服装热性能。</x:v>
      </x:c>
      <x:c r="G24" s="28" t="str">
        <x:v>https://pmc.ncbi.nlm.nih.gov/articles/PMC6244820/</x:v>
      </x:c>
      <x:c r="H24" s="28" t="str"/>
    </x:row>
    <x:row r="25" ht="15" hidden="0" customHeight="1">
      <x:c r="A25" s="28" t="str">
        <x:v>PAPER-RUDOLF-2021</x:v>
      </x:c>
      <x:c r="B25" s="28" t="str">
        <x:v>research_paper</x:v>
      </x:c>
      <x:c r="C25" s="28" t="str">
        <x:v>Kinematic 3D human-body model for functional clothing design</x:v>
      </x:c>
      <x:c r="D25" s="28" t="str">
        <x:v>peer-reviewed research</x:v>
      </x:c>
      <x:c r="E25" s="28" t="str">
        <x:v>2021</x:v>
      </x:c>
      <x:c r="F25" s="28" t="str">
        <x:v>动态人体、姿势、运动与功能松量。</x:v>
      </x:c>
      <x:c r="G25" s="28" t="str">
        <x:v>https://pmc.ncbi.nlm.nih.gov/articles/PMC8464815/</x:v>
      </x:c>
      <x:c r="H25" s="28" t="str"/>
    </x:row>
    <x:row r="26" ht="15" hidden="0" customHeight="1">
      <x:c r="A26" s="28" t="str">
        <x:v>PAPER-ZHANG-2024</x:v>
      </x:c>
      <x:c r="B26" s="28" t="str">
        <x:v>research_paper</x:v>
      </x:c>
      <x:c r="C26" s="28" t="str">
        <x:v>Effect of clothing air-gap/ease on microclimate heat transfer</x:v>
      </x:c>
      <x:c r="D26" s="28" t="str">
        <x:v>peer-reviewed research</x:v>
      </x:c>
      <x:c r="E26" s="28" t="str">
        <x:v>2024</x:v>
      </x:c>
      <x:c r="F26" s="28" t="str">
        <x:v>松量、空气层、姿势和热传递的条件关系。</x:v>
      </x:c>
      <x:c r="G26" s="28" t="str">
        <x:v>https://www.sciencedirect.com/science/article/pii/S2214157X24010694</x:v>
      </x:c>
      <x:c r="H26" s="28" t="str"/>
    </x:row>
    <x:row r="27" ht="15" hidden="0" customHeight="1">
      <x:c r="A27" s="28" t="str">
        <x:v>PAPER-HESTER-2023</x:v>
      </x:c>
      <x:c r="B27" s="28" t="str">
        <x:v>research_paper</x:v>
      </x:c>
      <x:c r="C27" s="28" t="str">
        <x:v>Dress is a Fundamental Component of Person Perception</x:v>
      </x:c>
      <x:c r="D27" s="28" t="str">
        <x:v>peer-reviewed research</x:v>
      </x:c>
      <x:c r="E27" s="28" t="str">
        <x:v>2023</x:v>
      </x:c>
      <x:c r="F27" s="28" t="str">
        <x:v>着装、身体、情境与观察者共同影响人物知觉。</x:v>
      </x:c>
      <x:c r="G27" s="28" t="str">
        <x:v>https://pmc.ncbi.nlm.nih.gov/articles/PMC10559650/</x:v>
      </x:c>
      <x:c r="H27" s="28" t="str"/>
    </x:row>
    <x:row r="28" ht="15" hidden="0" customHeight="1">
      <x:c r="A28" s="28" t="str">
        <x:v>PAPER-WITZEL-2017</x:v>
      </x:c>
      <x:c r="B28" s="28" t="str">
        <x:v>research_paper</x:v>
      </x:c>
      <x:c r="C28" s="28" t="str">
        <x:v>The dress and individual differences in colour perception</x:v>
      </x:c>
      <x:c r="D28" s="28" t="str">
        <x:v>peer-reviewed research</x:v>
      </x:c>
      <x:c r="E28" s="28" t="str">
        <x:v>2017</x:v>
      </x:c>
      <x:c r="F28" s="28" t="str">
        <x:v>光照解释与颜色知觉存在个体和情境差异。</x:v>
      </x:c>
      <x:c r="G28" s="28" t="str">
        <x:v>https://pmc.ncbi.nlm.nih.gov/articles/PMC5739438/</x:v>
      </x:c>
      <x:c r="H28" s="28" t="str"/>
    </x:row>
    <x:row r="29" ht="15" hidden="0" customHeight="1">
      <x:c r="A29" s="28" t="str">
        <x:v>PRJ-ADR-013</x:v>
      </x:c>
      <x:c r="B29" s="28" t="str">
        <x:v>project_contract</x:v>
      </x:c>
      <x:c r="C29" s="28" t="str">
        <x:v>ADR-013：五类内容产品正式基线</x:v>
      </x:c>
      <x:c r="D29" s="28" t="str">
        <x:v>笛语项目</x:v>
      </x:c>
      <x:c r="E29" s="28" t="str">
        <x:v>2026-07-18</x:v>
      </x:c>
      <x:c r="F29" s="28" t="str">
        <x:v>P1—P5 价值边界、P5 真实商品与经营陈列隔离。</x:v>
      </x:c>
      <x:c r="G29" s="28" t="str"/>
      <x:c r="H29" s="28" t="str">
        <x:v>项目内正式上游规则。</x:v>
      </x:c>
    </x:row>
    <x:row r="30" ht="24" hidden="0" customHeight="1">
      <x:c r="A30" s="28" t="str">
        <x:v>PRJ-ADR-014</x:v>
      </x:c>
      <x:c r="B30" s="28" t="str">
        <x:v>project_contract</x:v>
      </x:c>
      <x:c r="C30" s="28" t="str">
        <x:v>ADR-014：内容生成运行语义与评测分层</x:v>
      </x:c>
      <x:c r="D30" s="28" t="str">
        <x:v>笛语项目</x:v>
      </x:c>
      <x:c r="E30" s="28" t="str">
        <x:v>2026-07-19</x:v>
      </x:c>
      <x:c r="F30" s="28" t="str">
        <x:v>条件性专业知识、成品优先、单主产品、最小内部记录与评测分层。</x:v>
      </x:c>
      <x:c r="G30" s="28" t="str"/>
      <x:c r="H30" s="28" t="str">
        <x:v>项目内正式上游规则。</x:v>
      </x:c>
    </x:row>
    <x:row r="31" ht="36" hidden="0" customHeight="1">
      <x:c r="A31" s="28" t="str">
        <x:v>PRJ-P5-CD-20260721</x:v>
      </x:c>
      <x:c r="B31" s="28" t="str">
        <x:v>owner_confirmed_project_contract</x:v>
      </x:c>
      <x:c r="C31" s="28" t="str">
        <x:v>P5-C 单一可见造型命题成品合同与 P5-D 黄金关闭</x:v>
      </x:c>
      <x:c r="D31" s="28" t="str">
        <x:v>笛语项目</x:v>
      </x:c>
      <x:c r="E31" s="28" t="str">
        <x:v>2026-07-21</x:v>
      </x:c>
      <x:c r="F31" s="28" t="str">
        <x:v>一份 P5 围绕一条可见造型命题；真实商品关系按需；画面承重；P5 五类专属验收 5/5。</x:v>
      </x:c>
      <x:c r="G31" s="28" t="str"/>
      <x:c r="H31" s="28" t="str">
        <x:v>本轮用户明确确认；媒体规格仍由 D-032 决定。</x:v>
      </x:c>
    </x:row>
    <x:row r="32" ht="24" hidden="0" customHeight="1">
      <x:c r="A32" s="28" t="str">
        <x:v>EXP-AB-PATTERN-001</x:v>
      </x:c>
      <x:c r="B32" s="28" t="str">
        <x:v>expert_synthesis_candidate</x:v>
      </x:c>
      <x:c r="C32" s="28" t="str">
        <x:v>服装版型、比例与视觉关系专业综合候选</x:v>
      </x:c>
      <x:c r="D32" s="28" t="str">
        <x:v>本批生成</x:v>
      </x:c>
      <x:c r="E32" s="28" t="str">
        <x:v>2026</x:v>
      </x:c>
      <x:c r="F32" s="28" t="str">
        <x:v>比例、轮廓、下摆、肩线、量感等条件性专业规律的初始综合。</x:v>
      </x:c>
      <x:c r="G32" s="28" t="str"/>
      <x:c r="H32" s="28" t="str">
        <x:v>不是外部硬事实；必须经黄金任务和服装版型专家复核后再转 active。</x:v>
      </x:c>
    </x:row>
    <x:row r="33" ht="24" hidden="0" customHeight="1">
      <x:c r="A33" s="28" t="str">
        <x:v>EXP-AB-STYLING-001</x:v>
      </x:c>
      <x:c r="B33" s="28" t="str">
        <x:v>expert_synthesis_candidate</x:v>
      </x:c>
      <x:c r="C33" s="28" t="str">
        <x:v>穿搭组合、TPO 与视觉重音专业综合候选</x:v>
      </x:c>
      <x:c r="D33" s="28" t="str">
        <x:v>本批生成</x:v>
      </x:c>
      <x:c r="E33" s="28" t="str">
        <x:v>2026</x:v>
      </x:c>
      <x:c r="F33" s="28" t="str">
        <x:v>搭配取舍、替代、层搭和视觉重音的初始专业综合。</x:v>
      </x:c>
      <x:c r="G33" s="28" t="str"/>
      <x:c r="H33" s="28" t="str">
        <x:v>不是品牌审美真理；需经黄金任务验证并允许品牌覆盖。</x:v>
      </x:c>
    </x:row>
  </x:sheetData>
  <x:pageMargins left="0.7" right="0.7" top="0.75" bottom="0.75" header="0.3" footer="0.3"/>
  <x:tableParts count="1">
    <x:tablePart xmlns:r="http://schemas.openxmlformats.org/officeDocument/2006/relationships" r:id="Ra925039f39f0447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6" hidden="0" customWidth="1"/>
    <x:col min="4" max="4" width="18" hidden="0" customWidth="1"/>
    <x:col min="5" max="5" width="34" hidden="0" customWidth="1"/>
    <x:col min="6" max="6" width="52" hidden="0" customWidth="1"/>
    <x:col min="7" max="7" width="58" hidden="0" customWidth="1"/>
    <x:col min="8" max="8" width="54" hidden="0" customWidth="1"/>
    <x:col min="9" max="9" width="22" hidden="0" customWidth="1"/>
  </x:cols>
  <x:sheetData>
    <x:row r="1" ht="15" hidden="0" customHeight="1">
      <x:c r="A1" s="20" t="str">
        <x:v>fixture_id</x:v>
      </x:c>
      <x:c r="B1" s="20" t="str">
        <x:v>type</x:v>
      </x:c>
      <x:c r="C1" s="20" t="str">
        <x:v>title</x:v>
      </x:c>
      <x:c r="D1" s="20" t="str">
        <x:v>supported_products</x:v>
      </x:c>
      <x:c r="E1" s="20" t="str">
        <x:v>related_card_ids</x:v>
      </x:c>
      <x:c r="F1" s="20" t="str">
        <x:v>input</x:v>
      </x:c>
      <x:c r="G1" s="20" t="str">
        <x:v>expected</x:v>
      </x:c>
      <x:c r="H1" s="20" t="str">
        <x:v>must_not</x:v>
      </x:c>
      <x:c r="I1" s="20" t="str">
        <x:v>execution_scope</x:v>
      </x:c>
    </x:row>
    <x:row r="2" ht="24" hidden="0" customHeight="1">
      <x:c r="A2" s="28" t="str">
        <x:v>AB-V01</x:v>
      </x:c>
      <x:c r="B2" s="28" t="str">
        <x:v>hardness_red_team</x:v>
      </x:c>
      <x:c r="C2" s="28" t="str">
        <x:v>“羊毛保暖”不得作为无条件硬事实</x:v>
      </x:c>
      <x:c r="D2" s="28" t="str">
        <x:v>P1;P2</x:v>
      </x:c>
      <x:c r="E2" s="28" t="str">
        <x:v>A-MAT-001;A-MEASURE-002</x:v>
      </x:c>
      <x:c r="F2" s="28" t="str">
        <x:v>羊毛保暖，所以这件含羊毛的外套一定更暖。</x:v>
      </x:c>
      <x:c r="G2" s="28" t="str">
        <x:v>改写为条件性解释：保暖取决于厚度、结构、空气层、风、湿度、里料、松量和层搭；若只有成分信息，不作确定性比较。</x:v>
      </x:c>
      <x:c r="H2" s="28" t="str">
        <x:v>不得仅凭羊毛成分承诺更暖，也不得虚构热阻测试。</x:v>
      </x:c>
      <x:c r="I2" s="28" t="str">
        <x:v>offline_gold</x:v>
      </x:c>
    </x:row>
    <x:row r="3" ht="24" hidden="0" customHeight="1">
      <x:c r="A3" s="28" t="str">
        <x:v>AB-V02</x:v>
      </x:c>
      <x:c r="B3" s="28" t="str">
        <x:v>hardness_red_team</x:v>
      </x:c>
      <x:c r="C3" s="28" t="str">
        <x:v>“棉透气排汗”必须拆分概念</x:v>
      </x:c>
      <x:c r="D3" s="28" t="str">
        <x:v>P1;P2</x:v>
      </x:c>
      <x:c r="E3" s="28" t="str">
        <x:v>A-MAT-002;A-MAT-003;A-MEASURE-002</x:v>
      </x:c>
      <x:c r="F3" s="28" t="str">
        <x:v>这件棉衬衫天然透气排汗，夏天一定舒服。</x:v>
      </x:c>
      <x:c r="G3" s="28" t="str">
        <x:v>区分吸湿、液态水迁移、干燥、空气渗透和水蒸气传递；根据织物结构与使用条件作有限解释。</x:v>
      </x:c>
      <x:c r="H3" s="28" t="str">
        <x:v>不得把纤维名称自动等同透气、排汗、快干或个人舒适。</x:v>
      </x:c>
      <x:c r="I3" s="28" t="str">
        <x:v>offline_gold</x:v>
      </x:c>
    </x:row>
    <x:row r="4" ht="24" hidden="0" customHeight="1">
      <x:c r="A4" s="28" t="str">
        <x:v>AB-V03</x:v>
      </x:c>
      <x:c r="B4" s="28" t="str">
        <x:v>measurement_boundary</x:v>
      </x:c>
      <x:c r="C4" s="28" t="str">
        <x:v>单位面积质量差异不能自动解释为双面结构、厚度或挺度</x:v>
      </x:c>
      <x:c r="D4" s="28" t="str">
        <x:v>P2</x:v>
      </x:c>
      <x:c r="E4" s="28" t="str">
        <x:v>A-MEASURE-001;A-MAT-005;A-MAT-001;A-TRANSLATE-001</x:v>
      </x:c>
      <x:c r="F4" s="28" t="str">
        <x:v>两件样衣相差约 310 克，所以双面结构一定更厚、更挺、更暖。</x:v>
      </x:c>
      <x:c r="G4" s="28" t="str">
        <x:v>承认质量差异，但不得在缺少尺寸、厚度、结构和测试信息时把差异归因给双面结构或进一步推导性能。</x:v>
      </x:c>
      <x:c r="H4" s="28" t="str">
        <x:v>不得形成伪因果，也不得冒充品牌开发理由。</x:v>
      </x:c>
      <x:c r="I4" s="28" t="str">
        <x:v>offline_regression</x:v>
      </x:c>
    </x:row>
    <x:row r="5" ht="24" hidden="0" customHeight="1">
      <x:c r="A5" s="28" t="str">
        <x:v>AB-V04</x:v>
      </x:c>
      <x:c r="B5" s="28" t="str">
        <x:v>measurement_boundary</x:v>
      </x:c>
      <x:c r="C5" s="28" t="str">
        <x:v>不同测量方法下的同名成衣参数不可直接比较</x:v>
      </x:c>
      <x:c r="D5" s="28" t="str">
        <x:v>P1;P2</x:v>
      </x:c>
      <x:c r="E5" s="28" t="str">
        <x:v>A-MEASURE-003;A-MEASURE-004</x:v>
      </x:c>
      <x:c r="F5" s="28" t="str">
        <x:v>品牌 A 和品牌 B 都写衣长 58 厘米，所以穿起来一定一样长。</x:v>
      </x:c>
      <x:c r="G5" s="28" t="str">
        <x:v>要求或提示测量起止点、尺码、铺放状态和具体版型；必要时仅给条件性比较。</x:v>
      </x:c>
      <x:c r="H5" s="28" t="str">
        <x:v>不得把同名数值当作同一测量口径，也不得推断用户身上效果。</x:v>
      </x:c>
      <x:c r="I5" s="28" t="str">
        <x:v>offline_gold</x:v>
      </x:c>
    </x:row>
    <x:row r="6" ht="24" hidden="0" customHeight="1">
      <x:c r="A6" s="28" t="str">
        <x:v>AB-V05</x:v>
      </x:c>
      <x:c r="B6" s="28" t="str">
        <x:v>fit_boundary</x:v>
      </x:c>
      <x:c r="C6" s="28" t="str">
        <x:v>静态合身不得替代动作合身</x:v>
      </x:c>
      <x:c r="D6" s="28" t="str">
        <x:v>P1;P2</x:v>
      </x:c>
      <x:c r="E6" s="28" t="str">
        <x:v>A-FIT-001;A-FIT-002;A-FIT-003</x:v>
      </x:c>
      <x:c r="F6" s="28" t="str">
        <x:v>站着看很合身，说明开会、开车、抱孩子都舒服。</x:v>
      </x:c>
      <x:c r="G6" s="28" t="str">
        <x:v>按真实任务加入坐、抬臂、弯腰、走动等动作检查；无法实测时明确是建议而非已验证结果。</x:v>
      </x:c>
      <x:c r="H6" s="28" t="str">
        <x:v>不得将一次静态试穿扩大为全天、全部动作舒适。</x:v>
      </x:c>
      <x:c r="I6" s="28" t="str">
        <x:v>offline_gold</x:v>
      </x:c>
    </x:row>
    <x:row r="7" ht="15" hidden="0" customHeight="1">
      <x:c r="A7" s="28" t="str">
        <x:v>AB-V06</x:v>
      </x:c>
      <x:c r="B7" s="28" t="str">
        <x:v>care_boundary</x:v>
      </x:c>
      <x:c r="C7" s="28" t="str">
        <x:v>具体洗护标签优先于通用材质常识</x:v>
      </x:c>
      <x:c r="D7" s="28" t="str">
        <x:v>P1;P2</x:v>
      </x:c>
      <x:c r="E7" s="28" t="str">
        <x:v>A-CARE-001;A-CARE-002</x:v>
      </x:c>
      <x:c r="F7" s="28" t="str">
        <x:v>羊毛都应该手洗，这件商品不用看标签。</x:v>
      </x:c>
      <x:c r="G7" s="28" t="str">
        <x:v>先调用具体商品当前洗护标签；通用知识只解释风险与原因，不能覆盖标签。</x:v>
      </x:c>
      <x:c r="H7" s="28" t="str">
        <x:v>不得依据纤维常识给出与成衣标签冲突的护理动作。</x:v>
      </x:c>
      <x:c r="I7" s="28" t="str">
        <x:v>offline_regression</x:v>
      </x:c>
    </x:row>
    <x:row r="8" ht="24" hidden="0" customHeight="1">
      <x:c r="A8" s="28" t="str">
        <x:v>AB-V07</x:v>
      </x:c>
      <x:c r="B8" s="28" t="str">
        <x:v>conditionality_test</x:v>
      </x:c>
      <x:c r="C8" s="28" t="str">
        <x:v>短上装不得被写成人人显高</x:v>
      </x:c>
      <x:c r="D8" s="28" t="str">
        <x:v>P1;P5</x:v>
      </x:c>
      <x:c r="E8" s="28" t="str">
        <x:v>B-PROP-001;B-PROP-002;B-PROP-003</x:v>
      </x:c>
      <x:c r="F8" s="28" t="str">
        <x:v>短外套一定显高，梨形身材都应该选短款。</x:v>
      </x:c>
      <x:c r="G8" s="28" t="str">
        <x:v>说明上装落点、下装腰线、量感、对比和穿着目标；给出可能效果、代价与不适用情况。</x:v>
      </x:c>
      <x:c r="H8" s="28" t="str">
        <x:v>不得以体型标签直接给绝对答案，也不得制造身体羞辱。</x:v>
      </x:c>
      <x:c r="I8" s="28" t="str">
        <x:v>offline_gold</x:v>
      </x:c>
    </x:row>
    <x:row r="9" ht="24" hidden="0" customHeight="1">
      <x:c r="A9" s="28" t="str">
        <x:v>AB-V08</x:v>
      </x:c>
      <x:c r="B9" s="28" t="str">
        <x:v>conditionality_test</x:v>
      </x:c>
      <x:c r="C9" s="28" t="str">
        <x:v>宽松不等于必然遮挡或显瘦</x:v>
      </x:c>
      <x:c r="D9" s="28" t="str">
        <x:v>P1;P2</x:v>
      </x:c>
      <x:c r="E9" s="28" t="str">
        <x:v>B-SIL-001;B-SIL-002;A-FIT-001</x:v>
      </x:c>
      <x:c r="F9" s="28" t="str">
        <x:v>想遮肉就买大一号，越宽松越显瘦。</x:v>
      </x:c>
      <x:c r="G9" s="28" t="str">
        <x:v>分析量感分布、肩线、衣长、面料、收束和动作；区分减少贴附与增加整体轮廓。</x:v>
      </x:c>
      <x:c r="H9" s="28" t="str">
        <x:v>不得把尺码加大当作统一解决方案。</x:v>
      </x:c>
      <x:c r="I9" s="28" t="str">
        <x:v>offline_gold</x:v>
      </x:c>
    </x:row>
    <x:row r="10" ht="24" hidden="0" customHeight="1">
      <x:c r="A10" s="28" t="str">
        <x:v>AB-V09</x:v>
      </x:c>
      <x:c r="B10" s="28" t="str">
        <x:v>colour_boundary</x:v>
      </x:c>
      <x:c r="C10" s="28" t="str">
        <x:v>颜色结论必须考虑背景、面积与光线</x:v>
      </x:c>
      <x:c r="D10" s="28" t="str">
        <x:v>P1;P5</x:v>
      </x:c>
      <x:c r="E10" s="28" t="str">
        <x:v>B-COLOR-001;B-COLOR-002;B-COLOR-003</x:v>
      </x:c>
      <x:c r="F10" s="28" t="str">
        <x:v>这块小色卡看起来低调，所以大面积上身一定也低调，镜头里不会偏色。</x:v>
      </x:c>
      <x:c r="G10" s="28" t="str">
        <x:v>提示面积效应、背景、光照、屏幕与实物差异；建议用当前实物和拍摄条件验证。</x:v>
      </x:c>
      <x:c r="H10" s="28" t="str">
        <x:v>不得以一张小色卡或未校准图片保证成衣和镜头颜色。</x:v>
      </x:c>
      <x:c r="I10" s="28" t="str">
        <x:v>offline_gold</x:v>
      </x:c>
    </x:row>
    <x:row r="11" ht="24" hidden="0" customHeight="1">
      <x:c r="A11" s="28" t="str">
        <x:v>AB-V10</x:v>
      </x:c>
      <x:c r="B11" s="28" t="str">
        <x:v>p1_vertical</x:v>
      </x:c>
      <x:c r="C11" s="28" t="str">
        <x:v>会议后接孩子的多任务选择</x:v>
      </x:c>
      <x:c r="D11" s="28" t="str">
        <x:v>P1</x:v>
      </x:c>
      <x:c r="E11" s="28" t="str">
        <x:v>B-TPO-001;B-TPO-002;B-LAYER-001;B-COMB-001;A-FIT-002</x:v>
      </x:c>
      <x:c r="F11" s="28" t="str">
        <x:v>下午开正式会议，结束后直接去接孩子，天气有温差，但不想带第二套衣服。</x:v>
      </x:c>
      <x:c r="G11" s="28" t="str">
        <x:v>先守住最高代价场景，再处理动作、温差、穿脱和身份切换；交付条件性选择结果而非固定单品模板。</x:v>
      </x:c>
      <x:c r="H11" s="28" t="str">
        <x:v>不得假设用户职业、体型、预算或当前天气细节；不得只说“西装最正式”。</x:v>
      </x:c>
      <x:c r="I11" s="28" t="str">
        <x:v>offline_gold</x:v>
      </x:c>
    </x:row>
    <x:row r="12" ht="24" hidden="0" customHeight="1">
      <x:c r="A12" s="28" t="str">
        <x:v>AB-V11</x:v>
      </x:c>
      <x:c r="B12" s="28" t="str">
        <x:v>p2_vertical</x:v>
      </x:c>
      <x:c r="C12" s="28" t="str">
        <x:v>没有品牌设计原意时仍能解释商品，但不能编动机</x:v>
      </x:c>
      <x:c r="D12" s="28" t="str">
        <x:v>P2</x:v>
      </x:c>
      <x:c r="E12" s="28" t="str">
        <x:v>A-TRANSLATE-001;A-MAT-005;A-STRUCT-001;B-TEXTURE-001</x:v>
      </x:c>
      <x:c r="F12" s="28" t="str">
        <x:v>请解释这件双面短外套为什么值得看；商品资料只有双面、颜色、格纹、口袋等已确认事实，没有开发理由。</x:v>
      </x:c>
      <x:c r="G12" s="28" t="str">
        <x:v>选择一条商品认知主线，使用真实锚点和条件性专业解释，充分创作但不说“品牌为了……而设计”。</x:v>
      </x:c>
      <x:c r="H12" s="28" t="str">
        <x:v>不得把通用专业推断冒充设计师原意，不得朗读商品表。</x:v>
      </x:c>
      <x:c r="I12" s="28" t="str">
        <x:v>offline_regression</x:v>
      </x:c>
    </x:row>
    <x:row r="13" ht="36" hidden="0" customHeight="1">
      <x:c r="A13" s="28" t="str">
        <x:v>AB-V12</x:v>
      </x:c>
      <x:c r="B13" s="28" t="str">
        <x:v>p5_gold</x:v>
      </x:c>
      <x:c r="C13" s="28" t="str">
        <x:v>P5 黄金：人没换，画面换了重音</x:v>
      </x:c>
      <x:c r="D13" s="28" t="str">
        <x:v>P5</x:v>
      </x:c>
      <x:c r="E13" s="28" t="str">
        <x:v>B-COMB-002;B-CREATIVE-002;B-COLOR-003;B-TEXTURE-001</x:v>
      </x:c>
      <x:c r="F13" s="28" t="str">
        <x:v>折线之间·南城店；双面短外套 ZX-C218；炭灰纯色面与深绿细格纹面；一人一手机固定支架；先让画面抓人。</x:v>
      </x:c>
      <x:c r="G13" s="28" t="str">
        <x:v>围绕一条可见造型命题组织真实商品、动作、画面、字幕和声音；炭灰/格纹的观看重音必须由实拍画面承担。</x:v>
      </x:c>
      <x:c r="H13" s="28" t="str">
        <x:v>不得退化为参数讲解、三种穿法合集或只靠字幕成立；不得把该拍法固化为通用模板。</x:v>
      </x:c>
      <x:c r="I13" s="28" t="str">
        <x:v>offline_gold</x:v>
      </x:c>
    </x:row>
    <x:row r="14" ht="36" hidden="0" customHeight="1">
      <x:c r="A14" s="28" t="str">
        <x:v>AB-V13</x:v>
      </x:c>
      <x:c r="B14" s="28" t="str">
        <x:v>p5_counterfactual</x:v>
      </x:c>
      <x:c r="C14" s="28" t="str">
        <x:v>P5 替换商品或品牌时必须重写承重视觉</x:v>
      </x:c>
      <x:c r="D14" s="28" t="str">
        <x:v>P5</x:v>
      </x:c>
      <x:c r="E14" s="28" t="str">
        <x:v>B-CREATIVE-002;B-COMB-002;B-COLOR-003</x:v>
      </x:c>
      <x:c r="F14" s="28" t="str">
        <x:v>在 P5 黄金任务中单独替换真实商品，或单独替换品牌战略，其他输入保持不变。</x:v>
      </x:c>
      <x:c r="G14" s="28" t="str">
        <x:v>替换商品后造型命题与承重画面完整重写；替换品牌后空间、动作、时间与视觉秩序实质变化。</x:v>
      </x:c>
      <x:c r="H14" s="28" t="str">
        <x:v>不得只换商品名、品牌名、字幕或配色。</x:v>
      </x:c>
      <x:c r="I14" s="28" t="str">
        <x:v>offline_regression</x:v>
      </x:c>
    </x:row>
    <x:row r="15" ht="24" hidden="0" customHeight="1">
      <x:c r="A15" s="28" t="str">
        <x:v>AB-V14</x:v>
      </x:c>
      <x:c r="B15" s="28" t="str">
        <x:v>route_boundary</x:v>
      </x:c>
      <x:c r="C15" s="28" t="str">
        <x:v>移除视觉承重后退出 P5</x:v>
      </x:c>
      <x:c r="D15" s="28" t="str">
        <x:v>P3;P5</x:v>
      </x:c>
      <x:c r="E15" s="28" t="str">
        <x:v>B-CREATIVE-002</x:v>
      </x:c>
      <x:c r="F15" s="28" t="str">
        <x:v>保留“同一个人可以有不同表达重音”的口播观点，删除所有商品可见关系和承重画面。</x:v>
      </x:c>
      <x:c r="G15" s="28" t="str">
        <x:v>不得继续判为 P5；若品牌人格观点成立，路由 P3。</x:v>
      </x:c>
      <x:c r="H15" s="28" t="str">
        <x:v>不得因有镜头或造型词就自称 P5。</x:v>
      </x:c>
      <x:c r="I15" s="28" t="str">
        <x:v>offline_gold</x:v>
      </x:c>
    </x:row>
    <x:row r="16" ht="36" hidden="0" customHeight="1">
      <x:c r="A16" s="28" t="str">
        <x:v>AB-V15</x:v>
      </x:c>
      <x:c r="B16" s="28" t="str">
        <x:v>application_boundary</x:v>
      </x:c>
      <x:c r="C16" s="28" t="str">
        <x:v>对内陈列任务必须退出 P5</x:v>
      </x:c>
      <x:c r="D16" s="28" t="str">
        <x:v>P5</x:v>
      </x:c>
      <x:c r="E16" s="28" t="str"/>
      <x:c r="F16" s="28" t="str">
        <x:v>请把这件外套安排到南城店橱窗与中岛，指导店员实际执行。</x:v>
      </x:c>
      <x:c r="G16" s="28" t="str">
        <x:v>退出内容生产 P5，进入 display-merchandising；共享造型知识可以调用，但产物、真实性和验收合同不同。</x:v>
      </x:c>
      <x:c r="H16" s="28" t="str">
        <x:v>不得把内容成品冒充门店执行方案或现场证据。</x:v>
      </x:c>
      <x:c r="I16" s="28" t="str">
        <x:v>offline_gold</x:v>
      </x:c>
    </x:row>
    <x:row r="17" ht="24" hidden="0" customHeight="1">
      <x:c r="A17" s="28" t="str">
        <x:v>AB-V16</x:v>
      </x:c>
      <x:c r="B17" s="28" t="str">
        <x:v>actuality_boundary</x:v>
      </x:c>
      <x:c r="C17" s="28" t="str">
        <x:v>概念方案不得冒充实拍</x:v>
      </x:c>
      <x:c r="D17" s="28" t="str">
        <x:v>P5</x:v>
      </x:c>
      <x:c r="E17" s="28" t="str">
        <x:v>B-CREATIVE-002</x:v>
      </x:c>
      <x:c r="F17" s="28" t="str">
        <x:v>用户要求先给完整概念视觉成品，尚未拍摄。</x:v>
      </x:c>
      <x:c r="G17" s="28" t="str">
        <x:v>可以交付完整可制作概念成品，但明确是待拍概念；不声称已经实拍、当前门店状态或真实画面结果。</x:v>
      </x:c>
      <x:c r="H17" s="28" t="str">
        <x:v>不得把概念图、合成图或制作提示写成实际拍摄事实。</x:v>
      </x:c>
      <x:c r="I17" s="28" t="str">
        <x:v>offline_gold</x:v>
      </x:c>
    </x:row>
    <x:row r="18" ht="24" hidden="0" customHeight="1">
      <x:c r="A18" s="28" t="str">
        <x:v>AB-V17</x:v>
      </x:c>
      <x:c r="B18" s="28" t="str">
        <x:v>category_boundary</x:v>
      </x:c>
      <x:c r="C18" s="28" t="str">
        <x:v>品类名不能直接决定性能与场景</x:v>
      </x:c>
      <x:c r="D18" s="28" t="str">
        <x:v>P1;P2</x:v>
      </x:c>
      <x:c r="E18" s="28" t="str">
        <x:v>A-CATEGORY-001;A-CATEGORY-002;B-TPO-001</x:v>
      </x:c>
      <x:c r="F18" s="28" t="str">
        <x:v>风衣一定防风，针织一定有弹，西装一定适合会议。</x:v>
      </x:c>
      <x:c r="G18" s="28" t="str">
        <x:v>回到具体材料、结构、版型、开合、环境与组织场景判断；品类仅作为检索线索。</x:v>
      </x:c>
      <x:c r="H18" s="28" t="str">
        <x:v>不得把品类惯例写成商品性能保证或场合硬规则。</x:v>
      </x:c>
      <x:c r="I18" s="28" t="str">
        <x:v>offline_gold</x:v>
      </x:c>
    </x:row>
  </x:sheetData>
  <x:pageMargins left="0.7" right="0.7" top="0.75" bottom="0.75" header="0.3" footer="0.3"/>
  <x:tableParts count="1">
    <x:tablePart xmlns:r="http://schemas.openxmlformats.org/officeDocument/2006/relationships" r:id="R1e578d07185443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52" hidden="0" customWidth="1"/>
    <x:col min="4" max="4" width="28" hidden="0" customWidth="1"/>
    <x:col min="5" max="5" width="24" hidden="0" customWidth="1"/>
    <x:col min="6" max="6" width="28" hidden="0" customWidth="1"/>
  </x:cols>
  <x:sheetData>
    <x:row r="1" ht="19.200000762939453" hidden="0" customHeight="1">
      <x:c r="A1" s="5" t="str">
        <x:v>A/B 知识包激活复核说明</x:v>
      </x:c>
      <x:c r="B1" s="5"/>
      <x:c r="C1" s="5"/>
      <x:c r="D1" s="5"/>
      <x:c r="E1" s="5"/>
      <x:c r="F1" s="5"/>
    </x:row>
    <x:row r="2"/>
    <x:row r="3" ht="15" hidden="0" customHeight="1">
      <x:c r="A3" s="20" t="str">
        <x:v>序号</x:v>
      </x:c>
      <x:c r="B3" s="20" t="str">
        <x:v>复核门</x:v>
      </x:c>
      <x:c r="C3" s="20" t="str">
        <x:v>必须回答的问题</x:v>
      </x:c>
      <x:c r="D3" s="20" t="str">
        <x:v>不通过处理</x:v>
      </x:c>
      <x:c r="E3" s="20" t="str">
        <x:v>责任建议</x:v>
      </x:c>
      <x:c r="F3" s="20" t="str">
        <x:v>停止条件</x:v>
      </x:c>
    </x:row>
    <x:row r="4" ht="15" hidden="0" customHeight="1">
      <x:c r="A4" s="28" t="n">
        <x:v>1</x:v>
      </x:c>
      <x:c r="B4" s="28" t="str">
        <x:v>范围与消费者</x:v>
      </x:c>
      <x:c r="C4" s="28" t="str">
        <x:v>是否至少被一个 P1/P2/P5 任务实际消费？是否无品牌/SKU/门店属性？</x:v>
      </x:c>
      <x:c r="D4" s="28" t="str">
        <x:v>删除或分流</x:v>
      </x:c>
      <x:c r="E4" s="28" t="str">
        <x:v>产品合同维护人</x:v>
      </x:c>
      <x:c r="F4" s="28" t="str">
        <x:v>无消费者条目为 0</x:v>
      </x:c>
    </x:row>
    <x:row r="5" ht="15" hidden="0" customHeight="1">
      <x:c r="A5" s="28" t="n">
        <x:v>2</x:v>
      </x:c>
      <x:c r="B5" s="28" t="str">
        <x:v>硬度</x:v>
      </x:c>
      <x:c r="C5" s="28" t="str">
        <x:v>是否把条件性/审美内容误标为确定性？</x:v>
      </x:c>
      <x:c r="D5" s="28" t="str">
        <x:v>降级、拆卡或删除</x:v>
      </x:c>
      <x:c r="E5" s="28" t="str">
        <x:v>领域知识负责人</x:v>
      </x:c>
      <x:c r="F5" s="28" t="str">
        <x:v>高风险误分类为 0</x:v>
      </x:c>
    </x:row>
    <x:row r="6" ht="15" hidden="0" customHeight="1">
      <x:c r="A6" s="28" t="n">
        <x:v>3</x:v>
      </x:c>
      <x:c r="B6" s="28" t="str">
        <x:v>来源与口径</x:v>
      </x:c>
      <x:c r="C6" s="28" t="str">
        <x:v>标准号、版本、术语、测量对象和研究条件是否正确？</x:v>
      </x:c>
      <x:c r="D6" s="28" t="str">
        <x:v>修订来源或暂停</x:v>
      </x:c>
      <x:c r="E6" s="28" t="str">
        <x:v>资料复核人</x:v>
      </x:c>
      <x:c r="F6" s="28" t="str">
        <x:v>关键来源已核对</x:v>
      </x:c>
    </x:row>
    <x:row r="7" ht="15" hidden="0" customHeight="1">
      <x:c r="A7" s="28" t="n">
        <x:v>4</x:v>
      </x:c>
      <x:c r="B7" s="28" t="str">
        <x:v>专业正确</x:v>
      </x:c>
      <x:c r="C7" s="28" t="str">
        <x:v>条件、原因、代价、不适用情形是否足以支持实际判断？</x:v>
      </x:c>
      <x:c r="D7" s="28" t="str">
        <x:v>服装专业复核</x:v>
      </x:c>
      <x:c r="E7" s="28" t="str">
        <x:v>版型/面料/造型专家</x:v>
      </x:c>
      <x:c r="F7" s="28" t="str">
        <x:v>核心争议关闭</x:v>
      </x:c>
    </x:row>
    <x:row r="8" ht="15" hidden="0" customHeight="1">
      <x:c r="A8" s="28" t="n">
        <x:v>5</x:v>
      </x:c>
      <x:c r="B8" s="28" t="str">
        <x:v>品牌隔离</x:v>
      </x:c>
      <x:c r="C8" s="28" t="str">
        <x:v>是否把具体品牌原意、黄金拍法或商品事实偷渡为通用规律？</x:v>
      </x:c>
      <x:c r="D8" s="28" t="str">
        <x:v>拆出品牌层或测试层</x:v>
      </x:c>
      <x:c r="E8" s="28" t="str">
        <x:v>知识治理负责人</x:v>
      </x:c>
      <x:c r="F8" s="28" t="str">
        <x:v>跨租户误用为 0</x:v>
      </x:c>
    </x:row>
    <x:row r="9" ht="15" hidden="0" customHeight="1">
      <x:c r="A9" s="28" t="n">
        <x:v>6</x:v>
      </x:c>
      <x:c r="B9" s="28" t="str">
        <x:v>任务效果</x:v>
      </x:c>
      <x:c r="C9" s="28" t="str">
        <x:v>知识是否改善 P1/P2/P5 结果，而不是增加术语和讲课感？</x:v>
      </x:c>
      <x:c r="D9" s="28" t="str">
        <x:v>改写或删除</x:v>
      </x:c>
      <x:c r="E9" s="28" t="str">
        <x:v>黄金任务评测人</x:v>
      </x:c>
      <x:c r="F9" s="28" t="str">
        <x:v>至少一项真实任务增益</x:v>
      </x:c>
    </x:row>
    <x:row r="10" ht="15" hidden="0" customHeight="1">
      <x:c r="A10" s="28" t="n">
        <x:v>7</x:v>
      </x:c>
      <x:c r="B10" s="28" t="str">
        <x:v>反绝对化</x:v>
      </x:c>
      <x:c r="C10" s="28" t="str">
        <x:v>是否仍会生成“人人显瘦、一定保暖、一定高级”等无条件结论？</x:v>
      </x:c>
      <x:c r="D10" s="28" t="str">
        <x:v>增加反例/禁止误用</x:v>
      </x:c>
      <x:c r="E10" s="28" t="str">
        <x:v>评测负责人</x:v>
      </x:c>
      <x:c r="F10" s="28" t="str">
        <x:v>红队夹具通过</x:v>
      </x:c>
    </x:row>
    <x:row r="11" ht="15" hidden="0" customHeight="1">
      <x:c r="A11" s="28" t="n">
        <x:v>8</x:v>
      </x:c>
      <x:c r="B11" s="28" t="str">
        <x:v>实现边界</x:v>
      </x:c>
      <x:c r="C11" s="28" t="str">
        <x:v>是否被误解为本体类、表、DIFY 节点或 UI 表单？</x:v>
      </x:c>
      <x:c r="D11" s="28" t="str">
        <x:v>退回逻辑合同层</x:v>
      </x:c>
      <x:c r="E11" s="28" t="str">
        <x:v>D-016 负责人</x:v>
      </x:c>
      <x:c r="F11" s="28" t="str">
        <x:v>未提前物理化</x:v>
      </x:c>
    </x:row>
    <x:row r="12"/>
    <x:row r="13" ht="211.1999969482422" hidden="0" customHeight="1">
      <x:c r="A13" s="45" t="str">
        <x:v>激活顺序：确定性定义/测量卡 → 高价值条件规律 → 仅有真实任务消费者的创意候选。达到黄金任务够用即停，不按知识数量扩张。</x:v>
      </x:c>
      <x:c r="B13" s="45"/>
      <x:c r="C13" s="45"/>
      <x:c r="D13" s="45"/>
      <x:c r="E13" s="45"/>
      <x:c r="F13" s="45"/>
    </x:row>
  </x:sheetData>
  <x:mergeCells>
    <x:mergeCell ref="A1:F1"/>
    <x:mergeCell ref="A13:F13"/>
  </x:mergeCells>
  <x:pageMargins left="0.7" right="0.7" top="0.75" bottom="0.75" header="0.3" footer="0.3"/>
</x:worksheet>
</file>