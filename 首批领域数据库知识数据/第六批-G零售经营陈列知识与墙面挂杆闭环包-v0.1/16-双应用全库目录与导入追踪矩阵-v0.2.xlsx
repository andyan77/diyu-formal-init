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3bc4cb1acaa40fc" /></Relationships>
</file>

<file path=xl/workbook.xml><?xml version="1.0" encoding="utf-8"?>
<x:workbook xmlns:x="http://schemas.openxmlformats.org/spreadsheetml/2006/main">
  <x:sheets>
    <x:sheet xmlns:r="http://schemas.openxmlformats.org/officeDocument/2006/relationships" name="总览" sheetId="1" r:id="Rcd2e0639cd0d4586"/>
    <x:sheet xmlns:r="http://schemas.openxmlformats.org/officeDocument/2006/relationships" name="全库资产目录" sheetId="2" r:id="Rb713abda86fb4bab"/>
    <x:sheet xmlns:r="http://schemas.openxmlformats.org/officeDocument/2006/relationships" name="G知识卡" sheetId="3" r:id="R1b55431eeb5f4bd4"/>
    <x:sheet xmlns:r="http://schemas.openxmlformats.org/officeDocument/2006/relationships" name="陈列方法" sheetId="4" r:id="R5489775de24b4e3f"/>
    <x:sheet xmlns:r="http://schemas.openxmlformats.org/officeDocument/2006/relationships" name="陈列H规则" sheetId="5" r:id="Rb4b29d7853c34e14"/>
    <x:sheet xmlns:r="http://schemas.openxmlformats.org/officeDocument/2006/relationships" name="验证夹具" sheetId="6" r:id="R0d4b938ee962433e"/>
    <x:sheet xmlns:r="http://schemas.openxmlformats.org/officeDocument/2006/relationships" name="陈列夹具" sheetId="7" r:id="R30ee51a33149460e"/>
    <x:sheet xmlns:r="http://schemas.openxmlformats.org/officeDocument/2006/relationships" name="来源注册表" sheetId="8" r:id="R8c41f9dd65974146"/>
    <x:sheet xmlns:r="http://schemas.openxmlformats.org/officeDocument/2006/relationships" name="首次与日常输入" sheetId="9" r:id="R788489134af74e4f"/>
    <x:sheet xmlns:r="http://schemas.openxmlformats.org/officeDocument/2006/relationships" name="黄金方案明细" sheetId="10" r:id="R26aa31f7a2ae4f1d"/>
    <x:sheet xmlns:r="http://schemas.openxmlformats.org/officeDocument/2006/relationships" name="应用覆盖" sheetId="11" r:id="R60f11e2781eb460a"/>
    <x:sheet xmlns:r="http://schemas.openxmlformats.org/officeDocument/2006/relationships" name="导入校验" sheetId="12" r:id="R8ef78cafadff43bf"/>
    <x:sheet xmlns:r="http://schemas.openxmlformats.org/officeDocument/2006/relationships" name="字段字典" sheetId="13" r:id="R04d5615e29834b6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8"/>
      <x:color rgb="FFFFFFFF"/>
      <x:name val="Carlito"/>
    </x:font>
    <x:font>
      <x:i/>
      <x:sz val="11"/>
      <x:color rgb="FF1F2937"/>
      <x:name val="Carlito"/>
    </x:font>
    <x:font>
      <x:b/>
      <x:sz val="11"/>
      <x:color rgb="FFFFFFFF"/>
      <x:name val="Carlito"/>
    </x:font>
    <x:font>
      <x:b/>
      <x:sz val="11"/>
      <x:name val="Carlito"/>
    </x:font>
  </x:fonts>
  <x:fills count="7">
    <x:fill>
      <x:patternFill patternType="none"/>
    </x:fill>
    <x:fill>
      <x:patternFill patternType="gray125"/>
    </x:fill>
    <x:fill>
      <x:patternFill patternType="solid">
        <x:fgColor rgb="FF0F4C5C"/>
      </x:patternFill>
    </x:fill>
    <x:fill>
      <x:patternFill patternType="solid">
        <x:fgColor rgb="FFF4FAF7"/>
      </x:patternFill>
    </x:fill>
    <x:fill>
      <x:patternFill patternType="solid">
        <x:fgColor rgb="FF147D74"/>
      </x:patternFill>
    </x:fill>
    <x:fill>
      <x:patternFill patternType="solid">
        <x:fgColor rgb="FFDFF3EC"/>
      </x:patternFill>
    </x:fill>
    <x:fill>
      <x:patternFill patternType="solid">
        <x:fgColor rgb="FF0F766E"/>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left"/>
    </x:xf>
    <x:xf numFmtId="0" fontId="1" fillId="2" borderId="1"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4" borderId="0" xfId="0" applyNumberFormat="1" applyFont="1" applyFill="1" applyBorder="1"/>
    <x:xf numFmtId="0" fontId="0"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horizontal="center"/>
    </x:xf>
    <x:xf numFmtId="0" fontId="3" fillId="4" borderId="1"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3" fillId="4" borderId="1" xfId="0" applyNumberFormat="1" applyFont="1" applyFill="1" applyBorder="1" applyAlignment="1">
      <x:alignment horizontal="center" vertical="center"/>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0" fillId="6" borderId="0" xfId="0" applyNumberFormat="1" applyFont="1" applyFill="1" applyBorder="1"/>
    <x:xf numFmtId="0" fontId="0" fillId="6" borderId="1" xfId="0" applyNumberFormat="1" applyFont="1" applyFill="1" applyBorder="1"/>
    <x:xf numFmtId="0" fontId="3" fillId="6" borderId="0" xfId="0" applyNumberFormat="1" applyFont="1" applyFill="1" applyBorder="1"/>
    <x:xf numFmtId="0" fontId="3" fillId="6" borderId="1" xfId="0" applyNumberFormat="1" applyFont="1" applyFill="1" applyBorder="1"/>
    <x:xf numFmtId="0" fontId="3" fillId="6" borderId="0" xfId="0" applyNumberFormat="1" applyFont="1" applyFill="1" applyBorder="1" applyAlignment="1">
      <x:alignment horizontal="left"/>
    </x:xf>
    <x:xf numFmtId="0" fontId="3" fillId="6" borderId="1" xfId="0" applyNumberFormat="1" applyFont="1" applyFill="1" applyBorder="1" applyAlignment="1">
      <x:alignment horizontal="left"/>
    </x:xf>
    <x:xf numFmtId="0" fontId="3" fillId="6" borderId="0" xfId="0" applyNumberFormat="1" applyFont="1" applyFill="1" applyBorder="1" applyAlignment="1">
      <x:alignment horizontal="left" vertical="center"/>
    </x:xf>
    <x:xf numFmtId="0" fontId="3" fillId="6" borderId="1" xfId="0" applyNumberFormat="1" applyFont="1" applyFill="1" applyBorder="1" applyAlignment="1">
      <x:alignment horizontal="left" vertical="center"/>
    </x:xf>
    <x:xf numFmtId="0" fontId="0" fillId="0" borderId="0" xfId="0" applyNumberFormat="1" applyFont="1" applyFill="1" applyBorder="1" applyAlignment="1">
      <x:alignment wrapText="1"/>
    </x:xf>
    <x:xf numFmtId="0" fontId="3" fillId="6" borderId="0"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0" fontId="3" fillId="6" borderId="1" xfId="0" applyNumberFormat="1" applyFont="1" applyFill="1" applyBorder="1" applyAlignment="1">
      <x:alignment horizontal="left" vertical="center"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dxfs count="6">
    <x:dxf>
      <x:fill>
        <x:patternFill patternType="solid">
          <x:bgColor rgb="FFFEE2E2"/>
        </x:patternFill>
      </x:fill>
    </x:dxf>
    <x:dxf>
      <x:fill>
        <x:patternFill patternType="solid">
          <x:bgColor rgb="FFFEF3C7"/>
        </x:patternFill>
      </x:fill>
    </x:dxf>
    <x:dxf>
      <x:fill>
        <x:patternFill patternType="solid">
          <x:bgColor rgb="FFDCFCE7"/>
        </x:patternFill>
      </x:fill>
    </x:dxf>
    <x:dxf>
      <x:font>
        <x:color rgb="FF991B1B"/>
      </x:font>
      <x:fill>
        <x:patternFill patternType="solid">
          <x:bgColor rgb="FFFEE2E2"/>
        </x:patternFill>
      </x:fill>
    </x:dxf>
    <x:dxf>
      <x:font>
        <x:color rgb="FF92400E"/>
      </x:font>
      <x:fill>
        <x:patternFill patternType="solid">
          <x:bgColor rgb="FFFEF3C7"/>
        </x:patternFill>
      </x:fill>
    </x:dxf>
    <x:dxf>
      <x:font>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b09a96cf7e14247" /><Relationship Type="http://schemas.openxmlformats.org/officeDocument/2006/relationships/theme" Target="/xl/theme/theme1.xml" Id="R15a0e7e4cc364ee1" /><Relationship Type="http://schemas.openxmlformats.org/officeDocument/2006/relationships/sharedStrings" Target="/xl/sharedStrings.xml" Id="R8067a5bd8e3640ad" /><Relationship Type="http://schemas.openxmlformats.org/officeDocument/2006/relationships/worksheet" Target="/xl/worksheets/sheet1.xml" Id="Rcd2e0639cd0d4586" /><Relationship Type="http://schemas.openxmlformats.org/officeDocument/2006/relationships/worksheet" Target="/xl/worksheets/sheet2.xml" Id="Rb713abda86fb4bab" /><Relationship Type="http://schemas.openxmlformats.org/officeDocument/2006/relationships/worksheet" Target="/xl/worksheets/sheet3.xml" Id="R1b55431eeb5f4bd4" /><Relationship Type="http://schemas.openxmlformats.org/officeDocument/2006/relationships/worksheet" Target="/xl/worksheets/sheet4.xml" Id="R5489775de24b4e3f" /><Relationship Type="http://schemas.openxmlformats.org/officeDocument/2006/relationships/worksheet" Target="/xl/worksheets/sheet5.xml" Id="Rb4b29d7853c34e14" /><Relationship Type="http://schemas.openxmlformats.org/officeDocument/2006/relationships/worksheet" Target="/xl/worksheets/sheet6.xml" Id="R0d4b938ee962433e" /><Relationship Type="http://schemas.openxmlformats.org/officeDocument/2006/relationships/worksheet" Target="/xl/worksheets/sheet7.xml" Id="R30ee51a33149460e" /><Relationship Type="http://schemas.openxmlformats.org/officeDocument/2006/relationships/worksheet" Target="/xl/worksheets/sheet8.xml" Id="R8c41f9dd65974146" /><Relationship Type="http://schemas.openxmlformats.org/officeDocument/2006/relationships/worksheet" Target="/xl/worksheets/sheet9.xml" Id="R788489134af74e4f" /><Relationship Type="http://schemas.openxmlformats.org/officeDocument/2006/relationships/worksheet" Target="/xl/worksheets/sheet10.xml" Id="R26aa31f7a2ae4f1d" /><Relationship Type="http://schemas.openxmlformats.org/officeDocument/2006/relationships/worksheet" Target="/xl/worksheets/sheet11.xml" Id="R60f11e2781eb460a" /><Relationship Type="http://schemas.openxmlformats.org/officeDocument/2006/relationships/worksheet" Target="/xl/worksheets/sheet12.xml" Id="R8ef78cafadff43bf" /><Relationship Type="http://schemas.openxmlformats.org/officeDocument/2006/relationships/worksheet" Target="/xl/worksheets/sheet13.xml" Id="R04d5615e29834b68" /></Relationships>
</file>

<file path=xl/drawings/_rels/drawing1.xml.rels>&#65279;<?xml version="1.0" encoding="utf-8"?><Relationships xmlns="http://schemas.openxmlformats.org/package/2006/relationships"><Relationship Type="http://schemas.openxmlformats.org/officeDocument/2006/relationships/chart" Target="/xl/drawings/charts/chart1.xml" Id="R525ec484e7d94b0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第六批新增资产</a:t>
            </a:r>
          </a:p>
        </c:rich>
      </c:tx>
      <c:overlay val="0"/>
    </c:title>
    <c:autoTitleDeleted val="0"/>
    <c:plotArea>
      <c:layout/>
      <c:barChart>
        <c:barDir val="col"/>
        <c:grouping val="clustered"/>
        <c:varyColors val="0"/>
        <c:ser>
          <c:idx val="0"/>
          <c:order val="0"/>
          <c:tx>
            <c:v>数量</c:v>
          </c:tx>
          <c:cat>
            <c:strRef>
              <c:f>'总览'!$D$5:$D$7</c:f>
              <c:strCache>
                <c:ptCount val="0"/>
              </c:strCache>
            </c:strRef>
          </c:cat>
          <c:val>
            <c:numRef>
              <c:f>'总览'!$E$5:$E$7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8</xdr:row>
      <xdr:rowOff>0</xdr:rowOff>
    </xdr:from>
    <xdr:to>
      <xdr:col>11</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25ec484e7d94b0e"/>
        </a:graphicData>
      </a:graphic>
    </xdr:graphicFrame>
    <xdr:clientData/>
  </xdr:twoCellAnchor>
</xdr:wsDr>
</file>

<file path=xl/tables/table1.xml><?xml version="1.0" encoding="utf-8"?>
<x:table xmlns:x="http://schemas.openxmlformats.org/spreadsheetml/2006/main" id="1" name="AllAssetsTable" displayName="AllAssetsTable" ref="A3:M246" headerRowCount="1">
  <x:tableColumns count="13">
    <x:tableColumn id="1" name="asset_id"/>
    <x:tableColumn id="2" name="category"/>
    <x:tableColumn id="3" name="asset_type"/>
    <x:tableColumn id="4" name="title/name"/>
    <x:tableColumn id="5" name="hardness/method/rule"/>
    <x:tableColumn id="6" name="consumers"/>
    <x:tableColumn id="7" name="status"/>
    <x:tableColumn id="8" name="source_batch"/>
    <x:tableColumn id="9" name="basis_refs"/>
    <x:tableColumn id="10" name="fixture_refs"/>
    <x:tableColumn id="11" name="related_asset_ids"/>
    <x:tableColumn id="12" name="schema_version"/>
    <x:tableColumn id="13" name="import_disposition"/>
  </x:tableColumns>
  <x:tableStyleInfo name="TableStyleMedium2" showRowStripes="1"/>
</x:table>
</file>

<file path=xl/tables/table2.xml><?xml version="1.0" encoding="utf-8"?>
<x:table xmlns:x="http://schemas.openxmlformats.org/spreadsheetml/2006/main" id="2" name="GKnowledgeTable" displayName="GKnowledgeTable" ref="A3:O35" headerRowCount="1">
  <x:tableColumns count="15">
    <x:tableColumn id="1" name="knowledge_id"/>
    <x:tableColumn id="2" name="demand_id"/>
    <x:tableColumn id="3" name="topic"/>
    <x:tableColumn id="4" name="title"/>
    <x:tableColumn id="5" name="hardness"/>
    <x:tableColumn id="6" name="statement"/>
    <x:tableColumn id="7" name="scope/when"/>
    <x:tableColumn id="8" name="definition/effect"/>
    <x:tableColumn id="9" name="tradeoffs"/>
    <x:tableColumn id="10" name="not_when"/>
    <x:tableColumn id="11" name="anti_misuse"/>
    <x:tableColumn id="12" name="basis_refs"/>
    <x:tableColumn id="13" name="related_assets"/>
    <x:tableColumn id="14" name="fixtures"/>
    <x:tableColumn id="15" name="status"/>
  </x:tableColumns>
  <x:tableStyleInfo name="TableStyleMedium2" showRowStripes="1"/>
</x:table>
</file>

<file path=xl/tables/table3.xml><?xml version="1.0" encoding="utf-8"?>
<x:table xmlns:x="http://schemas.openxmlformats.org/spreadsheetml/2006/main" id="3" name="DisplayMethodsTable" displayName="DisplayMethodsTable" ref="A3:N17" headerRowCount="1">
  <x:tableColumns count="14">
    <x:tableColumn id="1" name="method_id"/>
    <x:tableColumn id="2" name="demand_id"/>
    <x:tableColumn id="3" name="name"/>
    <x:tableColumn id="4" name="method_family"/>
    <x:tableColumn id="5" name="use_when"/>
    <x:tableColumn id="6" name="avoid_when"/>
    <x:tableColumn id="7" name="required_inputs"/>
    <x:tableColumn id="8" name="transformation_steps"/>
    <x:tableColumn id="9" name="success_signals"/>
    <x:tableColumn id="10" name="failure_patterns"/>
    <x:tableColumn id="11" name="basis_refs"/>
    <x:tableColumn id="12" name="related_assets"/>
    <x:tableColumn id="13" name="fixtures"/>
    <x:tableColumn id="14" name="status"/>
  </x:tableColumns>
  <x:tableStyleInfo name="TableStyleMedium2" showRowStripes="1"/>
</x:table>
</file>

<file path=xl/tables/table4.xml><?xml version="1.0" encoding="utf-8"?>
<x:table xmlns:x="http://schemas.openxmlformats.org/spreadsheetml/2006/main" id="4" name="DisplayHRulesTable" displayName="DisplayHRulesTable" ref="A3:M30" headerRowCount="1">
  <x:tableColumns count="13">
    <x:tableColumn id="1" name="evaluation_rule_id"/>
    <x:tableColumn id="2" name="name"/>
    <x:tableColumn id="3" name="rule_type"/>
    <x:tableColumn id="4" name="execution_scope"/>
    <x:tableColumn id="5" name="failure_handling"/>
    <x:tableColumn id="6" name="condition"/>
    <x:tableColumn id="7" name="expected_result"/>
    <x:tableColumn id="8" name="failure_pattern"/>
    <x:tableColumn id="9" name="normative_status"/>
    <x:tableColumn id="10" name="basis_refs"/>
    <x:tableColumn id="11" name="related_assets"/>
    <x:tableColumn id="12" name="fixtures"/>
    <x:tableColumn id="13" name="status"/>
  </x:tableColumns>
  <x:tableStyleInfo name="TableStyleMedium2" showRowStripes="1"/>
</x:table>
</file>

<file path=xl/tables/table5.xml><?xml version="1.0" encoding="utf-8"?>
<x:table xmlns:x="http://schemas.openxmlformats.org/spreadsheetml/2006/main" id="5" name="AllFixturesTable" displayName="AllFixturesTable" ref="A3:K126" headerRowCount="1">
  <x:tableColumns count="11">
    <x:tableColumn id="1" name="fixture_id"/>
    <x:tableColumn id="2" name="name"/>
    <x:tableColumn id="3" name="fixture_type"/>
    <x:tableColumn id="4" name="consumers"/>
    <x:tableColumn id="5" name="related_asset_ids"/>
    <x:tableColumn id="6" name="execution_scope"/>
    <x:tableColumn id="7" name="input_or_change"/>
    <x:tableColumn id="8" name="expected_result"/>
    <x:tableColumn id="9" name="prohibited_result"/>
    <x:tableColumn id="10" name="source_batch"/>
    <x:tableColumn id="11" name="status"/>
  </x:tableColumns>
  <x:tableStyleInfo name="TableStyleMedium2" showRowStripes="1"/>
</x:table>
</file>

<file path=xl/tables/table6.xml><?xml version="1.0" encoding="utf-8"?>
<x:table xmlns:x="http://schemas.openxmlformats.org/spreadsheetml/2006/main" id="6" name="DisplayFixturesTable" displayName="DisplayFixturesTable" ref="A3:I28" headerRowCount="1">
  <x:tableColumns count="9">
    <x:tableColumn id="1" name="fixture_id"/>
    <x:tableColumn id="2" name="name"/>
    <x:tableColumn id="3" name="fixture_type"/>
    <x:tableColumn id="4" name="execution_scope"/>
    <x:tableColumn id="5" name="related_asset_ids"/>
    <x:tableColumn id="6" name="input_or_change"/>
    <x:tableColumn id="7" name="expected_result"/>
    <x:tableColumn id="8" name="prohibited_result"/>
    <x:tableColumn id="9" name="status"/>
  </x:tableColumns>
  <x:tableStyleInfo name="TableStyleMedium2" showRowStripes="1"/>
</x:table>
</file>

<file path=xl/tables/table7.xml><?xml version="1.0" encoding="utf-8"?>
<x:table xmlns:x="http://schemas.openxmlformats.org/spreadsheetml/2006/main" id="7" name="SourcesTable" displayName="SourcesTable" ref="A3:J65" headerRowCount="1">
  <x:tableColumns count="10">
    <x:tableColumn id="1" name="source_id"/>
    <x:tableColumn id="2" name="title"/>
    <x:tableColumn id="3" name="source_type"/>
    <x:tableColumn id="4" name="authority_status"/>
    <x:tableColumn id="5" name="use_scope"/>
    <x:tableColumn id="6" name="location"/>
    <x:tableColumn id="7" name="notes"/>
    <x:tableColumn id="8" name="source_file"/>
    <x:tableColumn id="9" name="schema_version"/>
    <x:tableColumn id="10" name="status"/>
  </x:tableColumns>
  <x:tableStyleInfo name="TableStyleMedium2" showRowStripes="1"/>
</x:table>
</file>

<file path=xl/tables/table8.xml><?xml version="1.0" encoding="utf-8"?>
<x:table xmlns:x="http://schemas.openxmlformats.org/spreadsheetml/2006/main" id="8" name="InputContractTable" displayName="InputContractTable" ref="A3:E17" headerRowCount="1">
  <x:tableColumns count="5">
    <x:tableColumn id="1" name="scope"/>
    <x:tableColumn id="2" name="field/semantic"/>
    <x:tableColumn id="3" name="required"/>
    <x:tableColumn id="4" name="meaning"/>
    <x:tableColumn id="5" name="boundary"/>
  </x:tableColumns>
  <x:tableStyleInfo name="TableStyleMedium2" showRowStripes="1"/>
</x:table>
</file>

<file path=xl/tables/table9.xml><?xml version="1.0" encoding="utf-8"?>
<x:table xmlns:x="http://schemas.openxmlformats.org/spreadsheetml/2006/main" id="9" name="GoldInventoryTable" displayName="GoldInventoryTable" ref="A3:F9" headerRowCount="1">
  <x:tableColumns count="6">
    <x:tableColumn id="1" name="product_ref"/>
    <x:tableColumn id="2" name="product"/>
    <x:tableColumn id="3" name="input_qty"/>
    <x:tableColumn id="4" name="initial_used"/>
    <x:tableColumn id="5" name="initial_unselected"/>
    <x:tableColumn id="6" name="initial_role"/>
  </x:tableColumns>
  <x:tableStyleInfo name="TableStyleMedium2" showRowStripes="1"/>
</x:table>
</file>

<file path=xl/tables/table10.xml><?xml version="1.0" encoding="utf-8"?>
<x:table xmlns:x="http://schemas.openxmlformats.org/spreadsheetml/2006/main" id="10" name="CoverageTable" displayName="CoverageTable" ref="A3:E11" headerRowCount="1">
  <x:tableColumns count="5">
    <x:tableColumn id="1" name="category"/>
    <x:tableColumn id="2" name="ownership"/>
    <x:tableColumn id="3" name="consumers"/>
    <x:tableColumn id="4" name="status"/>
    <x:tableColumn id="5" name="boundary"/>
  </x:tableColumns>
  <x:tableStyleInfo name="TableStyleMedium2" showRowStripes="1"/>
</x:table>
</file>

<file path=xl/tables/table11.xml><?xml version="1.0" encoding="utf-8"?>
<x:table xmlns:x="http://schemas.openxmlformats.org/spreadsheetml/2006/main" id="12" name="ValidationTable" displayName="ValidationTable" ref="A3:E23" headerRowCount="1">
  <x:tableColumns count="5">
    <x:tableColumn id="1" name="check"/>
    <x:tableColumn id="2" name="severity"/>
    <x:tableColumn id="3" name="result"/>
    <x:tableColumn id="4" name="count"/>
    <x:tableColumn id="5" name="details"/>
  </x:tableColumns>
  <x:tableStyleInfo name="TableStyleMedium2" showRowStripes="1"/>
</x:table>
</file>

<file path=xl/tables/table12.xml><?xml version="1.0" encoding="utf-8"?>
<x:table xmlns:x="http://schemas.openxmlformats.org/spreadsheetml/2006/main" id="11" name="FieldDictionaryTable" displayName="FieldDictionaryTable" ref="A3:D13" headerRowCount="1">
  <x:tableColumns count="4">
    <x:tableColumn id="1" name="field"/>
    <x:tableColumn id="2" name="kind"/>
    <x:tableColumn id="3" name="scope"/>
    <x:tableColumn id="4" name="meanin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c66c137e95a4642" /></Relationships>
</file>

<file path=xl/worksheets/_rels/sheet2.xml.rels>&#65279;<?xml version="1.0" encoding="utf-8"?><Relationships xmlns="http://schemas.openxmlformats.org/package/2006/relationships"><Relationship Type="http://schemas.openxmlformats.org/officeDocument/2006/relationships/table" Target="/xl/tables/table1.xml" Id="R935e4b1beabf47bb" /></Relationships>
</file>

<file path=xl/worksheets/_rels/sheet3.xml.rels>&#65279;<?xml version="1.0" encoding="utf-8"?><Relationships xmlns="http://schemas.openxmlformats.org/package/2006/relationships"><Relationship Type="http://schemas.openxmlformats.org/officeDocument/2006/relationships/table" Target="/xl/tables/table2.xml" Id="Ra578994e8d70488d" /></Relationships>
</file>

<file path=xl/worksheets/_rels/sheet4.xml.rels>&#65279;<?xml version="1.0" encoding="utf-8"?><Relationships xmlns="http://schemas.openxmlformats.org/package/2006/relationships"><Relationship Type="http://schemas.openxmlformats.org/officeDocument/2006/relationships/table" Target="/xl/tables/table3.xml" Id="Re7c3a8e056bd4231" /></Relationships>
</file>

<file path=xl/worksheets/_rels/sheet5.xml.rels>&#65279;<?xml version="1.0" encoding="utf-8"?><Relationships xmlns="http://schemas.openxmlformats.org/package/2006/relationships"><Relationship Type="http://schemas.openxmlformats.org/officeDocument/2006/relationships/table" Target="/xl/tables/table4.xml" Id="R172b4915100f44e0" /></Relationships>
</file>

<file path=xl/worksheets/_rels/sheet6.xml.rels>&#65279;<?xml version="1.0" encoding="utf-8"?><Relationships xmlns="http://schemas.openxmlformats.org/package/2006/relationships"><Relationship Type="http://schemas.openxmlformats.org/officeDocument/2006/relationships/table" Target="/xl/tables/table5.xml" Id="R01247bb5220b41c3" /></Relationships>
</file>

<file path=xl/worksheets/_rels/sheet7.xml.rels>&#65279;<?xml version="1.0" encoding="utf-8"?><Relationships xmlns="http://schemas.openxmlformats.org/package/2006/relationships"><Relationship Type="http://schemas.openxmlformats.org/officeDocument/2006/relationships/table" Target="/xl/tables/table6.xml" Id="Ra4793be708184a49" /></Relationships>
</file>

<file path=xl/worksheets/_rels/sheet8.xml.rels>&#65279;<?xml version="1.0" encoding="utf-8"?><Relationships xmlns="http://schemas.openxmlformats.org/package/2006/relationships"><Relationship Type="http://schemas.openxmlformats.org/officeDocument/2006/relationships/table" Target="/xl/tables/table7.xml" Id="R5f210ddd5d7f4961" /></Relationships>
</file>

<file path=xl/worksheets/_rels/sheet9.xml.rels>&#65279;<?xml version="1.0" encoding="utf-8"?><Relationships xmlns="http://schemas.openxmlformats.org/package/2006/relationships"><Relationship Type="http://schemas.openxmlformats.org/officeDocument/2006/relationships/table" Target="/xl/tables/table8.xml" Id="R7fb234aaf00b4d66" /></Relationships>
</file>

<file path=xl/worksheets/_rels/sheet10.xml.rels>&#65279;<?xml version="1.0" encoding="utf-8"?><Relationships xmlns="http://schemas.openxmlformats.org/package/2006/relationships"><Relationship Type="http://schemas.openxmlformats.org/officeDocument/2006/relationships/table" Target="/xl/tables/table9.xml" Id="R3f878e7ae7d240d9" /></Relationships>
</file>

<file path=xl/worksheets/_rels/sheet11.xml.rels>&#65279;<?xml version="1.0" encoding="utf-8"?><Relationships xmlns="http://schemas.openxmlformats.org/package/2006/relationships"><Relationship Type="http://schemas.openxmlformats.org/officeDocument/2006/relationships/table" Target="/xl/tables/table10.xml" Id="R578ed0f8d618431c" /></Relationships>
</file>

<file path=xl/worksheets/_rels/sheet12.xml.rels>&#65279;<?xml version="1.0" encoding="utf-8"?><Relationships xmlns="http://schemas.openxmlformats.org/package/2006/relationships"><Relationship Type="http://schemas.openxmlformats.org/officeDocument/2006/relationships/table" Target="/xl/tables/table11.xml" Id="R6d3baddc57464345" /></Relationships>
</file>

<file path=xl/worksheets/_rels/sheet13.xml.rels>&#65279;<?xml version="1.0" encoding="utf-8"?><Relationships xmlns="http://schemas.openxmlformats.org/package/2006/relationships"><Relationship Type="http://schemas.openxmlformats.org/officeDocument/2006/relationships/table" Target="/xl/tables/table12.xml" Id="Rd1f10829211a4ad7" /></Relationships>
</file>

<file path=xl/worksheets/sheet1.xml><?xml version="1.0" encoding="utf-8"?>
<x:worksheet xmlns:x="http://schemas.openxmlformats.org/spreadsheetml/2006/main">
  <x:sheetFormatPr defaultRowHeight="15"/>
  <x:cols>
    <x:col min="1" max="1" width="13" hidden="0" customWidth="1"/>
    <x:col min="2" max="2" width="32" hidden="0" customWidth="1"/>
    <x:col min="3" max="3" width="3" hidden="0" customWidth="1"/>
    <x:col min="4" max="4" width="13" hidden="0" customWidth="1"/>
    <x:col min="5" max="5" width="32" hidden="0" customWidth="1"/>
    <x:col min="6" max="6" width="3" hidden="0" customWidth="1"/>
    <x:col min="7" max="7" width="13" hidden="0" customWidth="1"/>
    <x:col min="8" max="8" width="30" hidden="0" customWidth="1"/>
    <x:col min="9" max="9" width="3" hidden="0" customWidth="1"/>
    <x:col min="10" max="10" width="13" hidden="0" customWidth="1"/>
    <x:col min="11" max="11" width="32" hidden="0" customWidth="1"/>
  </x:cols>
  <x:sheetData>
    <x:row r="1" ht="30" customHeight="1">
      <x:c r="A1" s="8" t="str">
        <x:v>第六批：G 零售经营陈列知识与墙面挂杆闭环包｜双应用全库 v0.2</x:v>
      </x:c>
      <x:c r="B1" s="8"/>
      <x:c r="C1" s="8"/>
      <x:c r="D1" s="8"/>
      <x:c r="E1" s="8"/>
      <x:c r="F1" s="8"/>
      <x:c r="G1" s="8"/>
      <x:c r="H1" s="8"/>
      <x:c r="I1" s="8"/>
      <x:c r="J1" s="8"/>
      <x:c r="K1" s="8"/>
    </x:row>
    <x:row r="2" ht="30" customHeight="1">
      <x:c r="A2" s="14" t="str">
        <x:v>D-005 已关闭；首期合同：视觉陈列 × 卖场墙面 × 一组挂杆。新增资产均为 review_candidate，不自动生产激活。</x:v>
      </x:c>
      <x:c r="B2" s="14"/>
      <x:c r="C2" s="14"/>
      <x:c r="D2" s="14"/>
      <x:c r="E2" s="14"/>
      <x:c r="F2" s="14"/>
      <x:c r="G2" s="14"/>
      <x:c r="H2" s="14"/>
      <x:c r="I2" s="14"/>
      <x:c r="J2" s="14"/>
      <x:c r="K2" s="14"/>
    </x:row>
    <x:row r="4" ht="26" customHeight="1">
      <x:c r="A4" s="24" t="str">
        <x:v>全库与导入</x:v>
      </x:c>
      <x:c r="B4" s="24" t="str">
        <x:v>数量</x:v>
      </x:c>
      <x:c r="C4" s="42"/>
      <x:c r="D4" s="24" t="str">
        <x:v>新增陈列资产类型</x:v>
      </x:c>
      <x:c r="E4" s="24" t="str">
        <x:v>数量</x:v>
      </x:c>
      <x:c r="F4" s="42"/>
      <x:c r="G4" s="24" t="str">
        <x:v>陈列 H 规则类型</x:v>
      </x:c>
      <x:c r="H4" s="24" t="str">
        <x:v>数量</x:v>
      </x:c>
      <x:c r="I4" s="42"/>
      <x:c r="J4" s="42"/>
      <x:c r="K4" s="42"/>
    </x:row>
    <x:row r="5">
      <x:c r="A5" s="32" t="str">
        <x:v>双应用全库资产</x:v>
      </x:c>
      <x:c r="B5" s="46" t="n">
        <x:f>COUNTA('全库资产目录'!A4:A1000)</x:f>
        <x:v>243</x:v>
      </x:c>
      <x:c r="C5" s="42"/>
      <x:c r="D5" s="32" t="str">
        <x:v>G 领域知识</x:v>
      </x:c>
      <x:c r="E5" s="46" t="n">
        <x:f>COUNTA('G知识卡'!A4:A1000)</x:f>
        <x:v>32</x:v>
      </x:c>
      <x:c r="F5" s="42"/>
      <x:c r="G5" s="30" t="str">
        <x:v>hard_gate</x:v>
      </x:c>
      <x:c r="H5" s="46" t="n">
        <x:f>COUNTIF('陈列H规则'!C4:C100,"hard_gate")</x:f>
        <x:v>11</x:v>
      </x:c>
      <x:c r="I5" s="42"/>
      <x:c r="J5" s="42"/>
      <x:c r="K5" s="42"/>
    </x:row>
    <x:row r="6">
      <x:c r="A6" s="32" t="str">
        <x:v>新增陈列资产</x:v>
      </x:c>
      <x:c r="B6" s="46" t="n">
        <x:f>COUNTA('G知识卡'!A4:A1000)+COUNTA('陈列方法'!A4:A1000)+COUNTA('陈列H规则'!A4:A1000)</x:f>
        <x:v>73</x:v>
      </x:c>
      <x:c r="C6" s="42"/>
      <x:c r="D6" s="32" t="str">
        <x:v>G 编译方法</x:v>
      </x:c>
      <x:c r="E6" s="46" t="n">
        <x:f>COUNTA('陈列方法'!A4:A1000)</x:f>
        <x:v>14</x:v>
      </x:c>
      <x:c r="F6" s="42"/>
      <x:c r="G6" s="30" t="str">
        <x:v>quality_criterion</x:v>
      </x:c>
      <x:c r="H6" s="46" t="n">
        <x:f>COUNTIF('陈列H规则'!C4:C100,"quality_criterion")</x:f>
        <x:v>8</x:v>
      </x:c>
      <x:c r="I6" s="42"/>
      <x:c r="J6" s="42"/>
      <x:c r="K6" s="42"/>
    </x:row>
    <x:row r="7">
      <x:c r="A7" s="32" t="str">
        <x:v>双应用验证夹具</x:v>
      </x:c>
      <x:c r="B7" s="46" t="n">
        <x:f>COUNTA('验证夹具'!A4:A1000)</x:f>
        <x:v>123</x:v>
      </x:c>
      <x:c r="C7" s="42"/>
      <x:c r="D7" s="32" t="str">
        <x:v>H 陈列评测</x:v>
      </x:c>
      <x:c r="E7" s="46" t="n">
        <x:f>COUNTA('陈列H规则'!A4:A1000)</x:f>
        <x:v>27</x:v>
      </x:c>
      <x:c r="F7" s="42"/>
      <x:c r="G7" s="30" t="str">
        <x:v>offline_test</x:v>
      </x:c>
      <x:c r="H7" s="46" t="n">
        <x:f>COUNTIF('陈列H规则'!C4:C100,"offline_test")</x:f>
        <x:v>8</x:v>
      </x:c>
      <x:c r="I7" s="42"/>
      <x:c r="J7" s="42"/>
      <x:c r="K7" s="42"/>
    </x:row>
    <x:row r="8">
      <x:c r="A8" s="32" t="str">
        <x:v>新增陈列夹具</x:v>
      </x:c>
      <x:c r="B8" s="46" t="n">
        <x:f>COUNTA('陈列夹具'!A4:A1000)</x:f>
        <x:v>25</x:v>
      </x:c>
      <x:c r="C8" s="42"/>
      <x:c r="D8" s="42"/>
      <x:c r="E8" s="42"/>
      <x:c r="F8" s="42"/>
      <x:c r="G8" s="42"/>
      <x:c r="H8" s="42"/>
      <x:c r="I8" s="42"/>
      <x:c r="J8" s="42"/>
      <x:c r="K8" s="42"/>
    </x:row>
    <x:row r="9">
      <x:c r="A9" s="32" t="str">
        <x:v>双应用来源</x:v>
      </x:c>
      <x:c r="B9" s="46" t="n">
        <x:f>COUNTA('来源注册表'!A4:A1000)</x:f>
        <x:v>62</x:v>
      </x:c>
      <x:c r="C9" s="42"/>
      <x:c r="D9" s="42"/>
      <x:c r="E9" s="42"/>
      <x:c r="F9" s="42"/>
      <x:c r="G9" s="42"/>
      <x:c r="H9" s="42"/>
      <x:c r="I9" s="42"/>
      <x:c r="J9" s="42"/>
      <x:c r="K9" s="42"/>
    </x:row>
    <x:row r="10">
      <x:c r="A10" s="32" t="str">
        <x:v>导入阻断错误</x:v>
      </x:c>
      <x:c r="B10" s="46" t="n">
        <x:f>COUNTIF('导入校验'!B4:B100,"error")</x:f>
        <x:v>0</x:v>
      </x:c>
      <x:c r="C10" s="42"/>
      <x:c r="D10" s="42"/>
      <x:c r="E10" s="42"/>
      <x:c r="F10" s="42"/>
      <x:c r="G10" s="42"/>
      <x:c r="H10" s="42"/>
      <x:c r="I10" s="42"/>
      <x:c r="J10" s="42"/>
      <x:c r="K10" s="42"/>
    </x:row>
    <x:row r="11">
      <x:c r="A11" s="42"/>
      <x:c r="B11" s="42"/>
      <x:c r="C11" s="42"/>
      <x:c r="D11" s="42"/>
      <x:c r="E11" s="42"/>
      <x:c r="F11" s="42"/>
      <x:c r="G11" s="42"/>
      <x:c r="H11" s="42"/>
      <x:c r="I11" s="42"/>
      <x:c r="J11" s="42"/>
      <x:c r="K11" s="42"/>
    </x:row>
    <x:row r="12">
      <x:c r="A12" s="43" t="str">
        <x:v>首期陈列闭环边界</x:v>
      </x:c>
      <x:c r="B12" s="43"/>
      <x:c r="C12" s="43"/>
      <x:c r="D12" s="43"/>
      <x:c r="E12" s="43"/>
      <x:c r="F12" s="43"/>
      <x:c r="G12" s="43"/>
      <x:c r="H12" s="43"/>
      <x:c r="I12" s="43"/>
      <x:c r="J12" s="43"/>
      <x:c r="K12" s="43"/>
    </x:row>
    <x:row r="13">
      <x:c r="A13" s="32" t="str">
        <x:v>首次输入</x:v>
      </x:c>
      <x:c r="B13" s="28" t="str">
        <x:v>自然说明一次容量/上下结构/固定正挂/主要来客方向/硬限制</x:v>
      </x:c>
      <x:c r="C13" s="28" t="str"/>
      <x:c r="D13" s="32" t="str">
        <x:v>日常输入</x:v>
      </x:c>
      <x:c r="E13" s="28" t="str">
        <x:v>只提交本次实际可用商品及数量</x:v>
      </x:c>
      <x:c r="F13" s="28" t="str"/>
      <x:c r="G13" s="32" t="str">
        <x:v>输出</x:v>
      </x:c>
      <x:c r="H13" s="28" t="str">
        <x:v>完整文字执行方案</x:v>
      </x:c>
      <x:c r="I13" s="28" t="str"/>
      <x:c r="J13" s="32" t="str">
        <x:v>反馈</x:v>
      </x:c>
      <x:c r="K13" s="28" t="str">
        <x:v>自然说明差异，局部修订</x:v>
      </x:c>
    </x:row>
    <x:row r="14">
      <x:c r="A14" s="32" t="str">
        <x:v>系统交付</x:v>
      </x:c>
      <x:c r="B14" s="28" t="str">
        <x:v>分组、左右、正挂、侧挂、数量间距、替代、步骤</x:v>
      </x:c>
      <x:c r="C14" s="28" t="str"/>
      <x:c r="D14" s="32" t="str">
        <x:v>现实口径</x:v>
      </x:c>
      <x:c r="E14" s="28" t="str">
        <x:v>建议≠批准≠已执行≠系统核验</x:v>
      </x:c>
      <x:c r="F14" s="28" t="str"/>
      <x:c r="G14" s="32" t="str">
        <x:v>首期不做</x:v>
      </x:c>
      <x:c r="H14" s="28" t="str">
        <x:v>识图巡检、评分、整改任务、ERP</x:v>
      </x:c>
      <x:c r="I14" s="28" t="str"/>
      <x:c r="J14" s="32" t="str">
        <x:v>扩展方式</x:v>
      </x:c>
      <x:c r="K14" s="28" t="str">
        <x:v>以后按目的×区域×载体增加新合同</x:v>
      </x:c>
    </x:row>
    <x:row r="15">
      <x:c r="A15" s="32" t="str">
        <x:v>黄金初版</x:v>
      </x:c>
      <x:c r="B15" s="28" t="str">
        <x:v>20 件中选择 15 件；三个上下搭配区；左主焦点、右弱回应</x:v>
      </x:c>
      <x:c r="C15" s="28" t="str"/>
      <x:c r="D15" s="32" t="str">
        <x:v>黄金反馈</x:v>
      </x:c>
      <x:c r="E15" s="28" t="str">
        <x:v>右上外套袖子压住马甲，其他不变</x:v>
      </x:c>
      <x:c r="F15" s="28" t="str"/>
      <x:c r="G15" s="32" t="str">
        <x:v>黄金修订</x:v>
      </x:c>
      <x:c r="H15" s="28" t="str">
        <x:v>只减 C 区上杆 1 件；15→14</x:v>
      </x:c>
      <x:c r="I15" s="28" t="str"/>
      <x:c r="J15" s="32" t="str">
        <x:v>冻结</x:v>
      </x:c>
      <x:c r="K15" s="28" t="str">
        <x:v>业务性质，不冻结具体排列模板</x:v>
      </x:c>
    </x:row>
    <x:row r="16">
      <x:c r="A16" s="32" t="str">
        <x:v>应用隔离</x:v>
      </x:c>
      <x:c r="B16" s="28" t="str">
        <x:v>P1—P5 仅 content-production；陈列使用 DisplayArtifact</x:v>
      </x:c>
      <x:c r="C16" s="28" t="str"/>
      <x:c r="D16" s="32" t="str">
        <x:v>知识复用</x:v>
      </x:c>
      <x:c r="E16" s="28" t="str">
        <x:v>A/B 共享知识 + G 陈列知识 + 品牌/商品/门店条件</x:v>
      </x:c>
      <x:c r="F16" s="28" t="str"/>
      <x:c r="G16" s="32" t="str">
        <x:v>评测</x:v>
      </x:c>
      <x:c r="H16" s="28" t="str">
        <x:v>在线轻检；完整单变量离线执行</x:v>
      </x:c>
      <x:c r="I16" s="28" t="str"/>
      <x:c r="J16" s="32" t="str">
        <x:v>状态</x:v>
      </x:c>
      <x:c r="K16" s="28" t="str">
        <x:v>新增资产 review_candidate</x:v>
      </x:c>
    </x:row>
    <x:row r="17">
      <x:c r="A17" s="32" t="str">
        <x:v>物理实现</x:v>
      </x:c>
      <x:c r="B17" s="28" t="str">
        <x:v>对象、表/JSON/投影和状态机留给 D-016</x:v>
      </x:c>
      <x:c r="C17" s="28" t="str"/>
      <x:c r="D17" s="32" t="str">
        <x:v>库存真值</x:v>
      </x:c>
      <x:c r="E17" s="28" t="str">
        <x:v>人工任务输入，不核验、不排名、不写回</x:v>
      </x:c>
      <x:c r="F17" s="28" t="str"/>
      <x:c r="G17" s="32" t="str">
        <x:v>证据</x:v>
      </x:c>
      <x:c r="H17" s="28" t="str">
        <x:v>来源与黄金夹具可追溯</x:v>
      </x:c>
      <x:c r="I17" s="28" t="str"/>
      <x:c r="J17" s="32" t="str">
        <x:v>终止点</x:v>
      </x:c>
      <x:c r="K17" s="28" t="str">
        <x:v>首期代表场景已闭合，不扩建其他场景</x:v>
      </x:c>
    </x:row>
  </x:sheetData>
  <x:mergeCells>
    <x:mergeCell ref="A1:K1"/>
    <x:mergeCell ref="A2:K2"/>
    <x:mergeCell ref="A12:K12"/>
  </x:mergeCells>
  <x:pageMargins left="0.7" right="0.7" top="0.75" bottom="0.75" header="0.3" footer="0.3"/>
  <x:drawing xmlns:r="http://schemas.openxmlformats.org/officeDocument/2006/relationships" r:id="Rac66c137e95a4642"/>
</x:worksheet>
</file>

<file path=xl/worksheets/sheet2.xml><?xml version="1.0" encoding="utf-8"?>
<x:worksheet xmlns:x="http://schemas.openxmlformats.org/spreadsheetml/2006/main">
  <x:sheetFormatPr defaultRowHeight="15"/>
  <x:cols>
    <x:col min="1" max="1" width="22" hidden="0" customWidth="1"/>
    <x:col min="2" max="2" width="9" hidden="0" customWidth="1"/>
    <x:col min="3" max="3" width="20" hidden="0" customWidth="1"/>
    <x:col min="4" max="4" width="38" hidden="0" customWidth="1"/>
    <x:col min="5" max="5" width="22" hidden="0" customWidth="1"/>
    <x:col min="6" max="6" width="32" hidden="0" customWidth="1"/>
    <x:col min="7" max="7" width="18" hidden="0" customWidth="1"/>
    <x:col min="8" max="8" width="18" hidden="0" customWidth="1"/>
    <x:col min="9" max="9" width="34" hidden="0" customWidth="1"/>
    <x:col min="10" max="10" width="28" hidden="0" customWidth="1"/>
    <x:col min="11" max="11" width="30" hidden="0" customWidth="1"/>
    <x:col min="12" max="12" width="24" hidden="0" customWidth="1"/>
    <x:col min="13" max="13" width="24" hidden="0" customWidth="1"/>
  </x:cols>
  <x:sheetData>
    <x:row r="1" ht="30" customHeight="1">
      <x:c r="A1" s="8" t="str">
        <x:v>双应用全库资产目录 v0.2</x:v>
      </x:c>
      <x:c r="B1" s="8"/>
      <x:c r="C1" s="8"/>
      <x:c r="D1" s="8"/>
      <x:c r="E1" s="8"/>
      <x:c r="F1" s="8"/>
      <x:c r="G1" s="8"/>
      <x:c r="H1" s="8"/>
      <x:c r="I1" s="8"/>
      <x:c r="J1" s="8"/>
      <x:c r="K1" s="8"/>
      <x:c r="L1" s="8"/>
      <x:c r="M1" s="8"/>
    </x:row>
    <x:row r="3" ht="26" customHeight="1">
      <x:c r="A3" s="24" t="str">
        <x:v>asset_id</x:v>
      </x:c>
      <x:c r="B3" s="24" t="str">
        <x:v>category</x:v>
      </x:c>
      <x:c r="C3" s="24" t="str">
        <x:v>asset_type</x:v>
      </x:c>
      <x:c r="D3" s="24" t="str">
        <x:v>title/name</x:v>
      </x:c>
      <x:c r="E3" s="24" t="str">
        <x:v>hardness/method/rule</x:v>
      </x:c>
      <x:c r="F3" s="24" t="str">
        <x:v>consumers</x:v>
      </x:c>
      <x:c r="G3" s="24" t="str">
        <x:v>status</x:v>
      </x:c>
      <x:c r="H3" s="24" t="str">
        <x:v>source_batch</x:v>
      </x:c>
      <x:c r="I3" s="24" t="str">
        <x:v>basis_refs</x:v>
      </x:c>
      <x:c r="J3" s="24" t="str">
        <x:v>fixture_refs</x:v>
      </x:c>
      <x:c r="K3" s="24" t="str">
        <x:v>related_asset_ids</x:v>
      </x:c>
      <x:c r="L3" s="24" t="str">
        <x:v>schema_version</x:v>
      </x:c>
      <x:c r="M3" s="24" t="str">
        <x:v>import_disposition</x:v>
      </x:c>
    </x:row>
    <x:row r="4">
      <x:c r="A4" s="28" t="str">
        <x:v>A-CARE-001</x:v>
      </x:c>
      <x:c r="B4" s="28" t="str">
        <x:v>A</x:v>
      </x:c>
      <x:c r="C4" s="28" t="str">
        <x:v>domain_knowledge</x:v>
      </x:c>
      <x:c r="D4" s="28" t="str">
        <x:v>具体商品洗护标签优先于通用纤维护理常识</x:v>
      </x:c>
      <x:c r="E4" s="28" t="str">
        <x:v>deterministic_fact</x:v>
      </x:c>
      <x:c r="F4" s="28" t="str">
        <x:v>P1_dressing_decision; P2_product_truth</x:v>
      </x:c>
      <x:c r="G4" s="28" t="str">
        <x:v>review_candidate</x:v>
      </x:c>
      <x:c r="H4" s="28" t="str">
        <x:v>batch_2_ab</x:v>
      </x:c>
      <x:c r="I4" s="28" t="str">
        <x:v>STD-ISO-3758; STD-ASTM-D3938</x:v>
      </x:c>
      <x:c r="J4" s="28" t="str"/>
      <x:c r="K4" s="28" t="str"/>
      <x:c r="L4" s="28" t="str">
        <x:v>diyu_global_asset_v0.2</x:v>
      </x:c>
      <x:c r="M4" s="28" t="str">
        <x:v>create_review_candidate</x:v>
      </x:c>
    </x:row>
    <x:row r="5">
      <x:c r="A5" s="28" t="str">
        <x:v>A-CARE-002</x:v>
      </x:c>
      <x:c r="B5" s="28" t="str">
        <x:v>A</x:v>
      </x:c>
      <x:c r="C5" s="28" t="str">
        <x:v>domain_knowledge</x:v>
      </x:c>
      <x:c r="D5" s="28" t="str">
        <x:v>洗涤、机械作用、温度和干燥方式会共同影响尺寸与外观</x:v>
      </x:c>
      <x:c r="E5" s="28" t="str">
        <x:v>conditional_rule</x:v>
      </x:c>
      <x:c r="F5" s="28" t="str">
        <x:v>P1_dressing_decision; P2_product_truth</x:v>
      </x:c>
      <x:c r="G5" s="28" t="str">
        <x:v>review_candidate</x:v>
      </x:c>
      <x:c r="H5" s="28" t="str">
        <x:v>batch_2_ab</x:v>
      </x:c>
      <x:c r="I5" s="28" t="str">
        <x:v>STD-ISO-6330; STD-ISO-5077; STD-ISO-15487; STD-ISO-3758</x:v>
      </x:c>
      <x:c r="J5" s="28" t="str"/>
      <x:c r="K5" s="28" t="str"/>
      <x:c r="L5" s="28" t="str">
        <x:v>diyu_global_asset_v0.2</x:v>
      </x:c>
      <x:c r="M5" s="28" t="str">
        <x:v>create_review_candidate</x:v>
      </x:c>
    </x:row>
    <x:row r="6">
      <x:c r="A6" s="28" t="str">
        <x:v>A-CATEGORY-001</x:v>
      </x:c>
      <x:c r="B6" s="28" t="str">
        <x:v>A</x:v>
      </x:c>
      <x:c r="C6" s="28" t="str">
        <x:v>domain_knowledge</x:v>
      </x:c>
      <x:c r="D6" s="28" t="str">
        <x:v>品类名称不能替代具体商品性能</x:v>
      </x:c>
      <x:c r="E6" s="28" t="str">
        <x:v>conditional_rule</x:v>
      </x:c>
      <x:c r="F6" s="28" t="str">
        <x:v>P1_dressing_decision; P2_product_truth</x:v>
      </x:c>
      <x:c r="G6" s="28" t="str">
        <x:v>review_candidate</x:v>
      </x:c>
      <x:c r="H6" s="28" t="str">
        <x:v>batch_2_ab</x:v>
      </x:c>
      <x:c r="I6" s="28" t="str">
        <x:v>STD-ASTM-D4850; PRJ-ADR-013; PRJ-ADR-014</x:v>
      </x:c>
      <x:c r="J6" s="28" t="str">
        <x:v>AB-V17</x:v>
      </x:c>
      <x:c r="K6" s="28" t="str"/>
      <x:c r="L6" s="28" t="str">
        <x:v>diyu_global_asset_v0.2</x:v>
      </x:c>
      <x:c r="M6" s="28" t="str">
        <x:v>create_review_candidate</x:v>
      </x:c>
    </x:row>
    <x:row r="7">
      <x:c r="A7" s="28" t="str">
        <x:v>A-CATEGORY-002</x:v>
      </x:c>
      <x:c r="B7" s="28" t="str">
        <x:v>A</x:v>
      </x:c>
      <x:c r="C7" s="28" t="str">
        <x:v>domain_knowledge</x:v>
      </x:c>
      <x:c r="D7" s="28" t="str">
        <x:v>品类适用性由任务、结构与环境共同决定</x:v>
      </x:c>
      <x:c r="E7" s="28" t="str">
        <x:v>conditional_rule</x:v>
      </x:c>
      <x:c r="F7" s="28" t="str">
        <x:v>P1_dressing_decision; P2_product_truth; P4_local_response</x:v>
      </x:c>
      <x:c r="G7" s="28" t="str">
        <x:v>review_candidate</x:v>
      </x:c>
      <x:c r="H7" s="28" t="str">
        <x:v>batch_2_ab</x:v>
      </x:c>
      <x:c r="I7" s="28" t="str">
        <x:v>PAPER-HESTER-2023; PRJ-ADR-014; EXP-AB-STYLING-001</x:v>
      </x:c>
      <x:c r="J7" s="28" t="str">
        <x:v>AB-V10; AB-V17</x:v>
      </x:c>
      <x:c r="K7" s="28" t="str"/>
      <x:c r="L7" s="28" t="str">
        <x:v>diyu_global_asset_v0.2</x:v>
      </x:c>
      <x:c r="M7" s="28" t="str">
        <x:v>create_review_candidate</x:v>
      </x:c>
    </x:row>
    <x:row r="8">
      <x:c r="A8" s="28" t="str">
        <x:v>A-FIT-001</x:v>
      </x:c>
      <x:c r="B8" s="28" t="str">
        <x:v>A</x:v>
      </x:c>
      <x:c r="C8" s="28" t="str">
        <x:v>domain_knowledge</x:v>
      </x:c>
      <x:c r="D8" s="28" t="str">
        <x:v>松量是对应部位成衣尺寸与人体尺寸的差，不等于“宽松风格”</x:v>
      </x:c>
      <x:c r="E8" s="28" t="str">
        <x:v>deterministic_fact</x:v>
      </x:c>
      <x:c r="F8" s="28" t="str">
        <x:v>P1_dressing_decision; P2_product_truth; P5_visual_styling_story</x:v>
      </x:c>
      <x:c r="G8" s="28" t="str">
        <x:v>review_candidate</x:v>
      </x:c>
      <x:c r="H8" s="28" t="str">
        <x:v>batch_2_ab</x:v>
      </x:c>
      <x:c r="I8" s="28" t="str">
        <x:v>STD-ISO-8559-1; STD-ISO-18890; PAPER-VESELA-2018; PAPER-RUDOLF-2021</x:v>
      </x:c>
      <x:c r="J8" s="28" t="str"/>
      <x:c r="K8" s="28" t="str"/>
      <x:c r="L8" s="28" t="str">
        <x:v>diyu_global_asset_v0.2</x:v>
      </x:c>
      <x:c r="M8" s="28" t="str">
        <x:v>create_review_candidate</x:v>
      </x:c>
    </x:row>
    <x:row r="9">
      <x:c r="A9" s="28" t="str">
        <x:v>A-FIT-002</x:v>
      </x:c>
      <x:c r="B9" s="28" t="str">
        <x:v>A</x:v>
      </x:c>
      <x:c r="C9" s="28" t="str">
        <x:v>domain_knowledge</x:v>
      </x:c>
      <x:c r="D9" s="28" t="str">
        <x:v>动作舒适取决于局部松量、结构、弹性和动作类型</x:v>
      </x:c>
      <x:c r="E9" s="28" t="str">
        <x:v>conditional_rule</x:v>
      </x:c>
      <x:c r="F9" s="28" t="str">
        <x:v>P1_dressing_decision; P2_product_truth</x:v>
      </x:c>
      <x:c r="G9" s="28" t="str">
        <x:v>review_candidate</x:v>
      </x:c>
      <x:c r="H9" s="28" t="str">
        <x:v>batch_2_ab</x:v>
      </x:c>
      <x:c r="I9" s="28" t="str">
        <x:v>STD-ISO-20932-1; PAPER-RUDOLF-2021; PAPER-ZHANG-2024</x:v>
      </x:c>
      <x:c r="J9" s="28" t="str"/>
      <x:c r="K9" s="28" t="str"/>
      <x:c r="L9" s="28" t="str">
        <x:v>diyu_global_asset_v0.2</x:v>
      </x:c>
      <x:c r="M9" s="28" t="str">
        <x:v>create_review_candidate</x:v>
      </x:c>
    </x:row>
    <x:row r="10">
      <x:c r="A10" s="28" t="str">
        <x:v>A-FIT-003</x:v>
      </x:c>
      <x:c r="B10" s="28" t="str">
        <x:v>A</x:v>
      </x:c>
      <x:c r="C10" s="28" t="str">
        <x:v>domain_knowledge</x:v>
      </x:c>
      <x:c r="D10" s="28" t="str">
        <x:v>静态合身检查不能替代动作检查</x:v>
      </x:c>
      <x:c r="E10" s="28" t="str">
        <x:v>conditional_rule</x:v>
      </x:c>
      <x:c r="F10" s="28" t="str">
        <x:v>P1_dressing_decision; P2_product_truth</x:v>
      </x:c>
      <x:c r="G10" s="28" t="str">
        <x:v>review_candidate</x:v>
      </x:c>
      <x:c r="H10" s="28" t="str">
        <x:v>batch_2_ab</x:v>
      </x:c>
      <x:c r="I10" s="28" t="str">
        <x:v>PAPER-RUDOLF-2021; PAPER-ZHANG-2024; PAPER-VESELA-2018</x:v>
      </x:c>
      <x:c r="J10" s="28" t="str"/>
      <x:c r="K10" s="28" t="str"/>
      <x:c r="L10" s="28" t="str">
        <x:v>diyu_global_asset_v0.2</x:v>
      </x:c>
      <x:c r="M10" s="28" t="str">
        <x:v>create_review_candidate</x:v>
      </x:c>
    </x:row>
    <x:row r="11">
      <x:c r="A11" s="28" t="str">
        <x:v>A-MAT-001</x:v>
      </x:c>
      <x:c r="B11" s="28" t="str">
        <x:v>A</x:v>
      </x:c>
      <x:c r="C11" s="28" t="str">
        <x:v>domain_knowledge</x:v>
      </x:c>
      <x:c r="D11" s="28" t="str">
        <x:v>保暖是材料与服装系统共同形成的结果</x:v>
      </x:c>
      <x:c r="E11" s="28" t="str">
        <x:v>conditional_rule</x:v>
      </x:c>
      <x:c r="F11" s="28" t="str">
        <x:v>P1_dressing_decision; P2_product_truth</x:v>
      </x:c>
      <x:c r="G11" s="28" t="str">
        <x:v>review_candidate</x:v>
      </x:c>
      <x:c r="H11" s="28" t="str">
        <x:v>batch_2_ab</x:v>
      </x:c>
      <x:c r="I11" s="28" t="str">
        <x:v>STD-ISO-11092; PAPER-TEYEME-2020; PAPER-VESELA-2018</x:v>
      </x:c>
      <x:c r="J11" s="28" t="str"/>
      <x:c r="K11" s="28" t="str"/>
      <x:c r="L11" s="28" t="str">
        <x:v>diyu_global_asset_v0.2</x:v>
      </x:c>
      <x:c r="M11" s="28" t="str">
        <x:v>create_review_candidate</x:v>
      </x:c>
    </x:row>
    <x:row r="12">
      <x:c r="A12" s="28" t="str">
        <x:v>A-MAT-002</x:v>
      </x:c>
      <x:c r="B12" s="28" t="str">
        <x:v>A</x:v>
      </x:c>
      <x:c r="C12" s="28" t="str">
        <x:v>domain_knowledge</x:v>
      </x:c>
      <x:c r="D12" s="28" t="str">
        <x:v>吸湿、导湿、干燥、空气渗透和水蒸气传递是不同概念</x:v>
      </x:c>
      <x:c r="E12" s="28" t="str">
        <x:v>deterministic_fact</x:v>
      </x:c>
      <x:c r="F12" s="28" t="str">
        <x:v>P1_dressing_decision; P2_product_truth</x:v>
      </x:c>
      <x:c r="G12" s="28" t="str">
        <x:v>review_candidate</x:v>
      </x:c>
      <x:c r="H12" s="28" t="str">
        <x:v>batch_2_ab</x:v>
      </x:c>
      <x:c r="I12" s="28" t="str">
        <x:v>STD-ISO-9237; STD-ISO-11092; PAPER-TEYEME-2020; PAPER-KIM-2021</x:v>
      </x:c>
      <x:c r="J12" s="28" t="str"/>
      <x:c r="K12" s="28" t="str"/>
      <x:c r="L12" s="28" t="str">
        <x:v>diyu_global_asset_v0.2</x:v>
      </x:c>
      <x:c r="M12" s="28" t="str">
        <x:v>create_review_candidate</x:v>
      </x:c>
    </x:row>
    <x:row r="13">
      <x:c r="A13" s="28" t="str">
        <x:v>A-MAT-003</x:v>
      </x:c>
      <x:c r="B13" s="28" t="str">
        <x:v>A</x:v>
      </x:c>
      <x:c r="C13" s="28" t="str">
        <x:v>domain_knowledge</x:v>
      </x:c>
      <x:c r="D13" s="28" t="str">
        <x:v>空气渗透率主要受孔隙与结构影响，不由纤维名单独决定</x:v>
      </x:c>
      <x:c r="E13" s="28" t="str">
        <x:v>conditional_rule</x:v>
      </x:c>
      <x:c r="F13" s="28" t="str">
        <x:v>P1_dressing_decision; P2_product_truth</x:v>
      </x:c>
      <x:c r="G13" s="28" t="str">
        <x:v>review_candidate</x:v>
      </x:c>
      <x:c r="H13" s="28" t="str">
        <x:v>batch_2_ab</x:v>
      </x:c>
      <x:c r="I13" s="28" t="str">
        <x:v>STD-ISO-9237; PAPER-ADAMEK-2021; PAPER-KIM-2021</x:v>
      </x:c>
      <x:c r="J13" s="28" t="str"/>
      <x:c r="K13" s="28" t="str"/>
      <x:c r="L13" s="28" t="str">
        <x:v>diyu_global_asset_v0.2</x:v>
      </x:c>
      <x:c r="M13" s="28" t="str">
        <x:v>create_review_candidate</x:v>
      </x:c>
    </x:row>
    <x:row r="14">
      <x:c r="A14" s="28" t="str">
        <x:v>A-MAT-004</x:v>
      </x:c>
      <x:c r="B14" s="28" t="str">
        <x:v>A</x:v>
      </x:c>
      <x:c r="C14" s="28" t="str">
        <x:v>domain_knowledge</x:v>
      </x:c>
      <x:c r="D14" s="28" t="str">
        <x:v>悬垂由重量、弯曲、剪切、结构和后整理共同决定</x:v>
      </x:c>
      <x:c r="E14" s="28" t="str">
        <x:v>conditional_rule</x:v>
      </x:c>
      <x:c r="F14" s="28" t="str">
        <x:v>P1_dressing_decision; P2_product_truth; P5_visual_styling_story</x:v>
      </x:c>
      <x:c r="G14" s="28" t="str">
        <x:v>review_candidate</x:v>
      </x:c>
      <x:c r="H14" s="28" t="str">
        <x:v>batch_2_ab</x:v>
      </x:c>
      <x:c r="I14" s="28" t="str">
        <x:v>PAPER-BAI-2022; STD-ISO-5084; STD-ISO-139</x:v>
      </x:c>
      <x:c r="J14" s="28" t="str"/>
      <x:c r="K14" s="28" t="str"/>
      <x:c r="L14" s="28" t="str">
        <x:v>diyu_global_asset_v0.2</x:v>
      </x:c>
      <x:c r="M14" s="28" t="str">
        <x:v>create_review_candidate</x:v>
      </x:c>
    </x:row>
    <x:row r="15">
      <x:c r="A15" s="28" t="str">
        <x:v>A-MAT-005</x:v>
      </x:c>
      <x:c r="B15" s="28" t="str">
        <x:v>A</x:v>
      </x:c>
      <x:c r="C15" s="28" t="str">
        <x:v>domain_knowledge</x:v>
      </x:c>
      <x:c r="D15" s="28" t="str">
        <x:v>厚度、挺括和硬度不能互相替代</x:v>
      </x:c>
      <x:c r="E15" s="28" t="str">
        <x:v>conditional_rule</x:v>
      </x:c>
      <x:c r="F15" s="28" t="str">
        <x:v>P1_dressing_decision; P2_product_truth; P5_visual_styling_story</x:v>
      </x:c>
      <x:c r="G15" s="28" t="str">
        <x:v>review_candidate</x:v>
      </x:c>
      <x:c r="H15" s="28" t="str">
        <x:v>batch_2_ab</x:v>
      </x:c>
      <x:c r="I15" s="28" t="str">
        <x:v>STD-ISO-5084; PAPER-BAI-2022; STD-ASTM-D3776</x:v>
      </x:c>
      <x:c r="J15" s="28" t="str">
        <x:v>G-P2-DOUBLEFACE</x:v>
      </x:c>
      <x:c r="K15" s="28" t="str"/>
      <x:c r="L15" s="28" t="str">
        <x:v>diyu_global_asset_v0.2</x:v>
      </x:c>
      <x:c r="M15" s="28" t="str">
        <x:v>create_review_candidate</x:v>
      </x:c>
    </x:row>
    <x:row r="16">
      <x:c r="A16" s="28" t="str">
        <x:v>A-MAT-006</x:v>
      </x:c>
      <x:c r="B16" s="28" t="str">
        <x:v>A</x:v>
      </x:c>
      <x:c r="C16" s="28" t="str">
        <x:v>domain_knowledge</x:v>
      </x:c>
      <x:c r="D16" s="28" t="str">
        <x:v>起皱与回复取决于纤维、结构、整理、含湿和护理</x:v>
      </x:c>
      <x:c r="E16" s="28" t="str">
        <x:v>conditional_rule</x:v>
      </x:c>
      <x:c r="F16" s="28" t="str">
        <x:v>P1_dressing_decision; P2_product_truth</x:v>
      </x:c>
      <x:c r="G16" s="28" t="str">
        <x:v>review_candidate</x:v>
      </x:c>
      <x:c r="H16" s="28" t="str">
        <x:v>batch_2_ab</x:v>
      </x:c>
      <x:c r="I16" s="28" t="str">
        <x:v>STD-ISO-15487; STD-ISO-6330; STD-ISO-5077</x:v>
      </x:c>
      <x:c r="J16" s="28" t="str"/>
      <x:c r="K16" s="28" t="str"/>
      <x:c r="L16" s="28" t="str">
        <x:v>diyu_global_asset_v0.2</x:v>
      </x:c>
      <x:c r="M16" s="28" t="str">
        <x:v>create_review_candidate</x:v>
      </x:c>
    </x:row>
    <x:row r="17">
      <x:c r="A17" s="28" t="str">
        <x:v>A-MAT-007</x:v>
      </x:c>
      <x:c r="B17" s="28" t="str">
        <x:v>A</x:v>
      </x:c>
      <x:c r="C17" s="28" t="str">
        <x:v>domain_knowledge</x:v>
      </x:c>
      <x:c r="D17" s="28" t="str">
        <x:v>表面光泽会随材质表面、组织、整理、光线和角度变化</x:v>
      </x:c>
      <x:c r="E17" s="28" t="str">
        <x:v>conditional_rule</x:v>
      </x:c>
      <x:c r="F17" s="28" t="str">
        <x:v>P2_product_truth; P5_visual_styling_story</x:v>
      </x:c>
      <x:c r="G17" s="28" t="str">
        <x:v>review_candidate</x:v>
      </x:c>
      <x:c r="H17" s="28" t="str">
        <x:v>batch_2_ab</x:v>
      </x:c>
      <x:c r="I17" s="28" t="str">
        <x:v>CIE-EILV-COLOR; PAPER-WITZEL-2017; EXP-AB-STYLING-001</x:v>
      </x:c>
      <x:c r="J17" s="28" t="str"/>
      <x:c r="K17" s="28" t="str"/>
      <x:c r="L17" s="28" t="str">
        <x:v>diyu_global_asset_v0.2</x:v>
      </x:c>
      <x:c r="M17" s="28" t="str">
        <x:v>create_review_candidate</x:v>
      </x:c>
    </x:row>
    <x:row r="18">
      <x:c r="A18" s="28" t="str">
        <x:v>A-MEASURE-001</x:v>
      </x:c>
      <x:c r="B18" s="28" t="str">
        <x:v>A</x:v>
      </x:c>
      <x:c r="C18" s="28" t="str">
        <x:v>domain_knowledge</x:v>
      </x:c>
      <x:c r="D18" s="28" t="str">
        <x:v>单位面积质量与厚度是两个不同测量维度</x:v>
      </x:c>
      <x:c r="E18" s="28" t="str">
        <x:v>deterministic_fact</x:v>
      </x:c>
      <x:c r="F18" s="28" t="str">
        <x:v>P1_dressing_decision; P2_product_truth; P5_visual_styling_story</x:v>
      </x:c>
      <x:c r="G18" s="28" t="str">
        <x:v>review_candidate</x:v>
      </x:c>
      <x:c r="H18" s="28" t="str">
        <x:v>batch_2_ab</x:v>
      </x:c>
      <x:c r="I18" s="28" t="str">
        <x:v>STD-ASTM-D3776; STD-ISO-5084; STD-ISO-139</x:v>
      </x:c>
      <x:c r="J18" s="28" t="str">
        <x:v>G-P2-DOUBLEFACE</x:v>
      </x:c>
      <x:c r="K18" s="28" t="str"/>
      <x:c r="L18" s="28" t="str">
        <x:v>diyu_global_asset_v0.2</x:v>
      </x:c>
      <x:c r="M18" s="28" t="str">
        <x:v>create_review_candidate</x:v>
      </x:c>
    </x:row>
    <x:row r="19">
      <x:c r="A19" s="28" t="str">
        <x:v>A-MEASURE-002</x:v>
      </x:c>
      <x:c r="B19" s="28" t="str">
        <x:v>A</x:v>
      </x:c>
      <x:c r="C19" s="28" t="str">
        <x:v>domain_knowledge</x:v>
      </x:c>
      <x:c r="D19" s="28" t="str">
        <x:v>空气渗透率、热阻与水蒸气阻力不是同一指标</x:v>
      </x:c>
      <x:c r="E19" s="28" t="str">
        <x:v>deterministic_fact</x:v>
      </x:c>
      <x:c r="F19" s="28" t="str">
        <x:v>P1_dressing_decision; P2_product_truth</x:v>
      </x:c>
      <x:c r="G19" s="28" t="str">
        <x:v>review_candidate</x:v>
      </x:c>
      <x:c r="H19" s="28" t="str">
        <x:v>batch_2_ab</x:v>
      </x:c>
      <x:c r="I19" s="28" t="str">
        <x:v>STD-ISO-9237; STD-ISO-11092; PAPER-ADAMEK-2021</x:v>
      </x:c>
      <x:c r="J19" s="28" t="str"/>
      <x:c r="K19" s="28" t="str"/>
      <x:c r="L19" s="28" t="str">
        <x:v>diyu_global_asset_v0.2</x:v>
      </x:c>
      <x:c r="M19" s="28" t="str">
        <x:v>create_review_candidate</x:v>
      </x:c>
    </x:row>
    <x:row r="20">
      <x:c r="A20" s="28" t="str">
        <x:v>A-MEASURE-003</x:v>
      </x:c>
      <x:c r="B20" s="28" t="str">
        <x:v>A</x:v>
      </x:c>
      <x:c r="C20" s="28" t="str">
        <x:v>domain_knowledge</x:v>
      </x:c>
      <x:c r="D20" s="28" t="str">
        <x:v>人体尺寸与成衣尺寸必须分开</x:v>
      </x:c>
      <x:c r="E20" s="28" t="str">
        <x:v>deterministic_fact</x:v>
      </x:c>
      <x:c r="F20" s="28" t="str">
        <x:v>P1_dressing_decision; P2_product_truth</x:v>
      </x:c>
      <x:c r="G20" s="28" t="str">
        <x:v>review_candidate</x:v>
      </x:c>
      <x:c r="H20" s="28" t="str">
        <x:v>batch_2_ab</x:v>
      </x:c>
      <x:c r="I20" s="28" t="str">
        <x:v>STD-ISO-8559-1; STD-ISO-8559-2; STD-ISO-18890</x:v>
      </x:c>
      <x:c r="J20" s="28" t="str"/>
      <x:c r="K20" s="28" t="str"/>
      <x:c r="L20" s="28" t="str">
        <x:v>diyu_global_asset_v0.2</x:v>
      </x:c>
      <x:c r="M20" s="28" t="str">
        <x:v>create_review_candidate</x:v>
      </x:c>
    </x:row>
    <x:row r="21">
      <x:c r="A21" s="28" t="str">
        <x:v>A-MEASURE-004</x:v>
      </x:c>
      <x:c r="B21" s="28" t="str">
        <x:v>A</x:v>
      </x:c>
      <x:c r="C21" s="28" t="str">
        <x:v>domain_knowledge</x:v>
      </x:c>
      <x:c r="D21" s="28" t="str">
        <x:v>成衣参数必须绑定明确测量点和方法</x:v>
      </x:c>
      <x:c r="E21" s="28" t="str">
        <x:v>deterministic_fact</x:v>
      </x:c>
      <x:c r="F21" s="28" t="str">
        <x:v>P1_dressing_decision; P2_product_truth</x:v>
      </x:c>
      <x:c r="G21" s="28" t="str">
        <x:v>review_candidate</x:v>
      </x:c>
      <x:c r="H21" s="28" t="str">
        <x:v>batch_2_ab</x:v>
      </x:c>
      <x:c r="I21" s="28" t="str">
        <x:v>STD-ISO-18890</x:v>
      </x:c>
      <x:c r="J21" s="28" t="str"/>
      <x:c r="K21" s="28" t="str"/>
      <x:c r="L21" s="28" t="str">
        <x:v>diyu_global_asset_v0.2</x:v>
      </x:c>
      <x:c r="M21" s="28" t="str">
        <x:v>create_review_candidate</x:v>
      </x:c>
    </x:row>
    <x:row r="22">
      <x:c r="A22" s="28" t="str">
        <x:v>A-STRUCT-001</x:v>
      </x:c>
      <x:c r="B22" s="28" t="str">
        <x:v>A</x:v>
      </x:c>
      <x:c r="C22" s="28" t="str">
        <x:v>domain_knowledge</x:v>
      </x:c>
      <x:c r="D22" s="28" t="str">
        <x:v>肩线位置和袖窿结构会改变肩部边界、量感与动作关系</x:v>
      </x:c>
      <x:c r="E22" s="28" t="str">
        <x:v>conditional_rule</x:v>
      </x:c>
      <x:c r="F22" s="28" t="str">
        <x:v>P1_dressing_decision; P2_product_truth; P5_visual_styling_story</x:v>
      </x:c>
      <x:c r="G22" s="28" t="str">
        <x:v>review_candidate</x:v>
      </x:c>
      <x:c r="H22" s="28" t="str">
        <x:v>batch_2_ab</x:v>
      </x:c>
      <x:c r="I22" s="28" t="str">
        <x:v>EXP-AB-PATTERN-001; PAPER-LI-2024</x:v>
      </x:c>
      <x:c r="J22" s="28" t="str"/>
      <x:c r="K22" s="28" t="str"/>
      <x:c r="L22" s="28" t="str">
        <x:v>diyu_global_asset_v0.2</x:v>
      </x:c>
      <x:c r="M22" s="28" t="str">
        <x:v>create_review_candidate</x:v>
      </x:c>
    </x:row>
    <x:row r="23">
      <x:c r="A23" s="28" t="str">
        <x:v>A-TERM-001</x:v>
      </x:c>
      <x:c r="B23" s="28" t="str">
        <x:v>A</x:v>
      </x:c>
      <x:c r="C23" s="28" t="str">
        <x:v>domain_knowledge</x:v>
      </x:c>
      <x:c r="D23" s="28" t="str">
        <x:v>纤维—纱线—面料—成衣是不同对象层级</x:v>
      </x:c>
      <x:c r="E23" s="28" t="str">
        <x:v>deterministic_fact</x:v>
      </x:c>
      <x:c r="F23" s="28" t="str">
        <x:v>P1_dressing_decision; P2_product_truth; P5_visual_styling_story</x:v>
      </x:c>
      <x:c r="G23" s="28" t="str">
        <x:v>review_candidate</x:v>
      </x:c>
      <x:c r="H23" s="28" t="str">
        <x:v>batch_2_ab</x:v>
      </x:c>
      <x:c r="I23" s="28" t="str">
        <x:v>STD-ASTM-D4850</x:v>
      </x:c>
      <x:c r="J23" s="28" t="str"/>
      <x:c r="K23" s="28" t="str"/>
      <x:c r="L23" s="28" t="str">
        <x:v>diyu_global_asset_v0.2</x:v>
      </x:c>
      <x:c r="M23" s="28" t="str">
        <x:v>create_review_candidate</x:v>
      </x:c>
    </x:row>
    <x:row r="24">
      <x:c r="A24" s="28" t="str">
        <x:v>A-TERM-002</x:v>
      </x:c>
      <x:c r="B24" s="28" t="str">
        <x:v>A</x:v>
      </x:c>
      <x:c r="C24" s="28" t="str">
        <x:v>domain_knowledge</x:v>
      </x:c>
      <x:c r="D24" s="28" t="str">
        <x:v>机织、针织与非织造是不同成形结构</x:v>
      </x:c>
      <x:c r="E24" s="28" t="str">
        <x:v>deterministic_fact</x:v>
      </x:c>
      <x:c r="F24" s="28" t="str">
        <x:v>P1_dressing_decision; P2_product_truth; P5_visual_styling_story</x:v>
      </x:c>
      <x:c r="G24" s="28" t="str">
        <x:v>review_candidate</x:v>
      </x:c>
      <x:c r="H24" s="28" t="str">
        <x:v>batch_2_ab</x:v>
      </x:c>
      <x:c r="I24" s="28" t="str">
        <x:v>STD-ASTM-D4850</x:v>
      </x:c>
      <x:c r="J24" s="28" t="str"/>
      <x:c r="K24" s="28" t="str"/>
      <x:c r="L24" s="28" t="str">
        <x:v>diyu_global_asset_v0.2</x:v>
      </x:c>
      <x:c r="M24" s="28" t="str">
        <x:v>create_review_candidate</x:v>
      </x:c>
    </x:row>
    <x:row r="25">
      <x:c r="A25" s="28" t="str">
        <x:v>A-TRANSLATE-001</x:v>
      </x:c>
      <x:c r="B25" s="28" t="str">
        <x:v>A</x:v>
      </x:c>
      <x:c r="C25" s="28" t="str">
        <x:v>domain_knowledge</x:v>
      </x:c>
      <x:c r="D25" s="28" t="str">
        <x:v>商品特征只能翻译为有条件的可感知影响，不能自动翻译成品牌动机</x:v>
      </x:c>
      <x:c r="E25" s="28" t="str">
        <x:v>conditional_rule</x:v>
      </x:c>
      <x:c r="F25" s="28" t="str">
        <x:v>P1_dressing_decision; P2_product_truth; P5_visual_styling_story</x:v>
      </x:c>
      <x:c r="G25" s="28" t="str">
        <x:v>review_candidate</x:v>
      </x:c>
      <x:c r="H25" s="28" t="str">
        <x:v>batch_2_ab</x:v>
      </x:c>
      <x:c r="I25" s="28" t="str">
        <x:v>PRJ-ADR-014; PRJ-ADR-013; EXP-AB-PATTERN-001</x:v>
      </x:c>
      <x:c r="J25" s="28" t="str">
        <x:v>G-P2-DESIGN-REASON; G-P2-NO-DESIGN-REASON</x:v>
      </x:c>
      <x:c r="K25" s="28" t="str"/>
      <x:c r="L25" s="28" t="str">
        <x:v>diyu_global_asset_v0.2</x:v>
      </x:c>
      <x:c r="M25" s="28" t="str">
        <x:v>create_review_candidate</x:v>
      </x:c>
    </x:row>
    <x:row r="26">
      <x:c r="A26" s="28" t="str">
        <x:v>B-COLOR-001</x:v>
      </x:c>
      <x:c r="B26" s="28" t="str">
        <x:v>B</x:v>
      </x:c>
      <x:c r="C26" s="28" t="str">
        <x:v>domain_knowledge</x:v>
      </x:c>
      <x:c r="D26" s="28" t="str">
        <x:v>色相、明度和彩度是不同的颜色知觉属性</x:v>
      </x:c>
      <x:c r="E26" s="28" t="str">
        <x:v>deterministic_fact</x:v>
      </x:c>
      <x:c r="F26" s="28" t="str">
        <x:v>P1_dressing_decision; P2_product_truth; P3_brand_life_narrative; P4_local_response; P5_visual_styling_story</x:v>
      </x:c>
      <x:c r="G26" s="28" t="str">
        <x:v>review_candidate</x:v>
      </x:c>
      <x:c r="H26" s="28" t="str">
        <x:v>batch_2_ab</x:v>
      </x:c>
      <x:c r="I26" s="28" t="str">
        <x:v>CIE-EILV-COLOR</x:v>
      </x:c>
      <x:c r="J26" s="28" t="str"/>
      <x:c r="K26" s="28" t="str"/>
      <x:c r="L26" s="28" t="str">
        <x:v>diyu_global_asset_v0.2</x:v>
      </x:c>
      <x:c r="M26" s="28" t="str">
        <x:v>create_review_candidate</x:v>
      </x:c>
    </x:row>
    <x:row r="27">
      <x:c r="A27" s="28" t="str">
        <x:v>B-COLOR-002</x:v>
      </x:c>
      <x:c r="B27" s="28" t="str">
        <x:v>B</x:v>
      </x:c>
      <x:c r="C27" s="28" t="str">
        <x:v>domain_knowledge</x:v>
      </x:c>
      <x:c r="D27" s="28" t="str">
        <x:v>颜色外观会随周围颜色、面积、光照和观察条件变化</x:v>
      </x:c>
      <x:c r="E27" s="28" t="str">
        <x:v>conditional_rule</x:v>
      </x:c>
      <x:c r="F27" s="28" t="str">
        <x:v>P1_dressing_decision; P2_product_truth; P5_visual_styling_story</x:v>
      </x:c>
      <x:c r="G27" s="28" t="str">
        <x:v>review_candidate</x:v>
      </x:c>
      <x:c r="H27" s="28" t="str">
        <x:v>batch_2_ab</x:v>
      </x:c>
      <x:c r="I27" s="28" t="str">
        <x:v>CIE-EILV-COLOR; CIE-STIMULUS-SIZE; PAPER-WITZEL-2017</x:v>
      </x:c>
      <x:c r="J27" s="28" t="str">
        <x:v>G-P5-DOUBLEFACE</x:v>
      </x:c>
      <x:c r="K27" s="28" t="str"/>
      <x:c r="L27" s="28" t="str">
        <x:v>diyu_global_asset_v0.2</x:v>
      </x:c>
      <x:c r="M27" s="28" t="str">
        <x:v>create_review_candidate</x:v>
      </x:c>
    </x:row>
    <x:row r="28">
      <x:c r="A28" s="28" t="str">
        <x:v>B-COLOR-003</x:v>
      </x:c>
      <x:c r="B28" s="28" t="str">
        <x:v>B</x:v>
      </x:c>
      <x:c r="C28" s="28" t="str">
        <x:v>domain_knowledge</x:v>
      </x:c>
      <x:c r="D28" s="28" t="str">
        <x:v>高彩度或高对比色占据更大面积时通常更容易成为视觉重音</x:v>
      </x:c>
      <x:c r="E28" s="28" t="str">
        <x:v>conditional_rule</x:v>
      </x:c>
      <x:c r="F28" s="28" t="str">
        <x:v>P1_dressing_decision; P5_visual_styling_story</x:v>
      </x:c>
      <x:c r="G28" s="28" t="str">
        <x:v>review_candidate</x:v>
      </x:c>
      <x:c r="H28" s="28" t="str">
        <x:v>batch_2_ab</x:v>
      </x:c>
      <x:c r="I28" s="28" t="str">
        <x:v>CIE-EILV-COLOR; CIE-STIMULUS-SIZE; EXP-AB-STYLING-001</x:v>
      </x:c>
      <x:c r="J28" s="28" t="str"/>
      <x:c r="K28" s="28" t="str"/>
      <x:c r="L28" s="28" t="str">
        <x:v>diyu_global_asset_v0.2</x:v>
      </x:c>
      <x:c r="M28" s="28" t="str">
        <x:v>create_review_candidate</x:v>
      </x:c>
    </x:row>
    <x:row r="29">
      <x:c r="A29" s="28" t="str">
        <x:v>B-COLOR-004</x:v>
      </x:c>
      <x:c r="B29" s="28" t="str">
        <x:v>B</x:v>
      </x:c>
      <x:c r="C29" s="28" t="str">
        <x:v>domain_knowledge</x:v>
      </x:c>
      <x:c r="D29" s="28" t="str">
        <x:v>近似色或同色关系可减少色相切割，但不保证高级或显瘦</x:v>
      </x:c>
      <x:c r="E29" s="28" t="str">
        <x:v>conditional_rule</x:v>
      </x:c>
      <x:c r="F29" s="28" t="str">
        <x:v>P1_dressing_decision; P5_visual_styling_story</x:v>
      </x:c>
      <x:c r="G29" s="28" t="str">
        <x:v>review_candidate</x:v>
      </x:c>
      <x:c r="H29" s="28" t="str">
        <x:v>batch_2_ab</x:v>
      </x:c>
      <x:c r="I29" s="28" t="str">
        <x:v>CIE-EILV-COLOR; EXP-AB-STYLING-001</x:v>
      </x:c>
      <x:c r="J29" s="28" t="str"/>
      <x:c r="K29" s="28" t="str"/>
      <x:c r="L29" s="28" t="str">
        <x:v>diyu_global_asset_v0.2</x:v>
      </x:c>
      <x:c r="M29" s="28" t="str">
        <x:v>create_review_candidate</x:v>
      </x:c>
    </x:row>
    <x:row r="30">
      <x:c r="A30" s="28" t="str">
        <x:v>B-COMB-001</x:v>
      </x:c>
      <x:c r="B30" s="28" t="str">
        <x:v>B</x:v>
      </x:c>
      <x:c r="C30" s="28" t="str">
        <x:v>domain_knowledge</x:v>
      </x:c>
      <x:c r="D30" s="28" t="str">
        <x:v>替代选择应保留核心任务，而不是只换同品类</x:v>
      </x:c>
      <x:c r="E30" s="28" t="str">
        <x:v>conditional_rule</x:v>
      </x:c>
      <x:c r="F30" s="28" t="str">
        <x:v>P1_dressing_decision; P2_product_truth; P5_visual_styling_story</x:v>
      </x:c>
      <x:c r="G30" s="28" t="str">
        <x:v>review_candidate</x:v>
      </x:c>
      <x:c r="H30" s="28" t="str">
        <x:v>batch_2_ab</x:v>
      </x:c>
      <x:c r="I30" s="28" t="str">
        <x:v>PRJ-ADR-013; PRJ-ADR-014; EXP-AB-STYLING-001</x:v>
      </x:c>
      <x:c r="J30" s="28" t="str">
        <x:v>G-P1-TRAVEL-ONE-COAT</x:v>
      </x:c>
      <x:c r="K30" s="28" t="str"/>
      <x:c r="L30" s="28" t="str">
        <x:v>diyu_global_asset_v0.2</x:v>
      </x:c>
      <x:c r="M30" s="28" t="str">
        <x:v>create_review_candidate</x:v>
      </x:c>
    </x:row>
    <x:row r="31">
      <x:c r="A31" s="28" t="str">
        <x:v>B-COMB-002</x:v>
      </x:c>
      <x:c r="B31" s="28" t="str">
        <x:v>B</x:v>
      </x:c>
      <x:c r="C31" s="28" t="str">
        <x:v>domain_knowledge</x:v>
      </x:c>
      <x:c r="D31" s="28" t="str">
        <x:v>一个真实单品足以承载造型关系时，不应强迫增加其他商品</x:v>
      </x:c>
      <x:c r="E31" s="28" t="str">
        <x:v>conditional_rule</x:v>
      </x:c>
      <x:c r="F31" s="28" t="str">
        <x:v>P1_dressing_decision; P5_visual_styling_story</x:v>
      </x:c>
      <x:c r="G31" s="28" t="str">
        <x:v>review_candidate</x:v>
      </x:c>
      <x:c r="H31" s="28" t="str">
        <x:v>batch_2_ab</x:v>
      </x:c>
      <x:c r="I31" s="28" t="str">
        <x:v>PRJ-P5-CLOSE-20260721; EXP-AB-STYLING-001</x:v>
      </x:c>
      <x:c r="J31" s="28" t="str">
        <x:v>G-P5-DOUBLEFACE</x:v>
      </x:c>
      <x:c r="K31" s="28" t="str"/>
      <x:c r="L31" s="28" t="str">
        <x:v>diyu_global_asset_v0.2</x:v>
      </x:c>
      <x:c r="M31" s="28" t="str">
        <x:v>create_review_candidate</x:v>
      </x:c>
    </x:row>
    <x:row r="32">
      <x:c r="A32" s="28" t="str">
        <x:v>B-CREATIVE-001</x:v>
      </x:c>
      <x:c r="B32" s="28" t="str">
        <x:v>B</x:v>
      </x:c>
      <x:c r="C32" s="28" t="str">
        <x:v>domain_knowledge</x:v>
      </x:c>
      <x:c r="D32" s="28" t="str">
        <x:v>低色差中的材质对比可作为层次方向</x:v>
      </x:c>
      <x:c r="E32" s="28" t="str">
        <x:v>creative_candidate</x:v>
      </x:c>
      <x:c r="F32" s="28" t="str">
        <x:v>P1_dressing_decision; P5_visual_styling_story</x:v>
      </x:c>
      <x:c r="G32" s="28" t="str">
        <x:v>review_candidate</x:v>
      </x:c>
      <x:c r="H32" s="28" t="str">
        <x:v>batch_2_ab</x:v>
      </x:c>
      <x:c r="I32" s="28" t="str">
        <x:v>CIE-EILV-COLOR; EXP-AB-STYLING-001</x:v>
      </x:c>
      <x:c r="J32" s="28" t="str"/>
      <x:c r="K32" s="28" t="str"/>
      <x:c r="L32" s="28" t="str">
        <x:v>diyu_global_asset_v0.2</x:v>
      </x:c>
      <x:c r="M32" s="28" t="str">
        <x:v>create_review_candidate</x:v>
      </x:c>
    </x:row>
    <x:row r="33">
      <x:c r="A33" s="28" t="str">
        <x:v>B-CREATIVE-002</x:v>
      </x:c>
      <x:c r="B33" s="28" t="str">
        <x:v>B</x:v>
      </x:c>
      <x:c r="C33" s="28" t="str">
        <x:v>domain_knowledge</x:v>
      </x:c>
      <x:c r="D33" s="28" t="str">
        <x:v>围绕一个主视觉重音组织轮廓、纹理或色块</x:v>
      </x:c>
      <x:c r="E33" s="28" t="str">
        <x:v>creative_candidate</x:v>
      </x:c>
      <x:c r="F33" s="28" t="str">
        <x:v>P5_visual_styling_story</x:v>
      </x:c>
      <x:c r="G33" s="28" t="str">
        <x:v>review_candidate</x:v>
      </x:c>
      <x:c r="H33" s="28" t="str">
        <x:v>batch_2_ab</x:v>
      </x:c>
      <x:c r="I33" s="28" t="str">
        <x:v>PRJ-P5-CLOSE-20260721; CIE-EILV-COLOR; EXP-AB-STYLING-001</x:v>
      </x:c>
      <x:c r="J33" s="28" t="str">
        <x:v>G-P5-DOUBLEFACE</x:v>
      </x:c>
      <x:c r="K33" s="28" t="str"/>
      <x:c r="L33" s="28" t="str">
        <x:v>diyu_global_asset_v0.2</x:v>
      </x:c>
      <x:c r="M33" s="28" t="str">
        <x:v>create_review_candidate</x:v>
      </x:c>
    </x:row>
    <x:row r="34">
      <x:c r="A34" s="28" t="str">
        <x:v>B-LAYER-001</x:v>
      </x:c>
      <x:c r="B34" s="28" t="str">
        <x:v>B</x:v>
      </x:c>
      <x:c r="C34" s="28" t="str">
        <x:v>domain_knowledge</x:v>
      </x:c>
      <x:c r="D34" s="28" t="str">
        <x:v>层搭应先分配功能，再处理视觉关系</x:v>
      </x:c>
      <x:c r="E34" s="28" t="str">
        <x:v>conditional_rule</x:v>
      </x:c>
      <x:c r="F34" s="28" t="str">
        <x:v>P1_dressing_decision; P2_product_truth; P4_local_response; P5_visual_styling_story</x:v>
      </x:c>
      <x:c r="G34" s="28" t="str">
        <x:v>review_candidate</x:v>
      </x:c>
      <x:c r="H34" s="28" t="str">
        <x:v>batch_2_ab</x:v>
      </x:c>
      <x:c r="I34" s="28" t="str">
        <x:v>STD-ISO-11092; PAPER-TEYEME-2020; PAPER-ZHANG-2024</x:v>
      </x:c>
      <x:c r="J34" s="28" t="str"/>
      <x:c r="K34" s="28" t="str"/>
      <x:c r="L34" s="28" t="str">
        <x:v>diyu_global_asset_v0.2</x:v>
      </x:c>
      <x:c r="M34" s="28" t="str">
        <x:v>create_review_candidate</x:v>
      </x:c>
    </x:row>
    <x:row r="35">
      <x:c r="A35" s="28" t="str">
        <x:v>B-PROP-001</x:v>
      </x:c>
      <x:c r="B35" s="28" t="str">
        <x:v>B</x:v>
      </x:c>
      <x:c r="C35" s="28" t="str">
        <x:v>domain_knowledge</x:v>
      </x:c>
      <x:c r="D35" s="28" t="str">
        <x:v>可见分割位置会改变整体比例的观看方式</x:v>
      </x:c>
      <x:c r="E35" s="28" t="str">
        <x:v>conditional_rule</x:v>
      </x:c>
      <x:c r="F35" s="28" t="str">
        <x:v>P1_dressing_decision; P5_visual_styling_story</x:v>
      </x:c>
      <x:c r="G35" s="28" t="str">
        <x:v>review_candidate</x:v>
      </x:c>
      <x:c r="H35" s="28" t="str">
        <x:v>batch_2_ab</x:v>
      </x:c>
      <x:c r="I35" s="28" t="str">
        <x:v>CIE-EILV-COLOR; PAPER-HESTER-2023; EXP-AB-PATTERN-001</x:v>
      </x:c>
      <x:c r="J35" s="28" t="str">
        <x:v>G-P1-MEETING-SCHOOL</x:v>
      </x:c>
      <x:c r="K35" s="28" t="str"/>
      <x:c r="L35" s="28" t="str">
        <x:v>diyu_global_asset_v0.2</x:v>
      </x:c>
      <x:c r="M35" s="28" t="str">
        <x:v>create_review_candidate</x:v>
      </x:c>
    </x:row>
    <x:row r="36">
      <x:c r="A36" s="28" t="str">
        <x:v>B-PROP-002</x:v>
      </x:c>
      <x:c r="B36" s="28" t="str">
        <x:v>B</x:v>
      </x:c>
      <x:c r="C36" s="28" t="str">
        <x:v>domain_knowledge</x:v>
      </x:c>
      <x:c r="D36" s="28" t="str">
        <x:v>较短上装可能上移视觉重心，但需要上下装共同成立</x:v>
      </x:c>
      <x:c r="E36" s="28" t="str">
        <x:v>conditional_rule</x:v>
      </x:c>
      <x:c r="F36" s="28" t="str">
        <x:v>P1_dressing_decision; P5_visual_styling_story</x:v>
      </x:c>
      <x:c r="G36" s="28" t="str">
        <x:v>review_candidate</x:v>
      </x:c>
      <x:c r="H36" s="28" t="str">
        <x:v>batch_2_ab</x:v>
      </x:c>
      <x:c r="I36" s="28" t="str">
        <x:v>EXP-AB-PATTERN-001; PAPER-LI-2024</x:v>
      </x:c>
      <x:c r="J36" s="28" t="str">
        <x:v>G-P1-SHORT-JACKET; G-P5-DOUBLEFACE</x:v>
      </x:c>
      <x:c r="K36" s="28" t="str"/>
      <x:c r="L36" s="28" t="str">
        <x:v>diyu_global_asset_v0.2</x:v>
      </x:c>
      <x:c r="M36" s="28" t="str">
        <x:v>create_review_candidate</x:v>
      </x:c>
    </x:row>
    <x:row r="37">
      <x:c r="A37" s="28" t="str">
        <x:v>B-PROP-003</x:v>
      </x:c>
      <x:c r="B37" s="28" t="str">
        <x:v>B</x:v>
      </x:c>
      <x:c r="C37" s="28" t="str">
        <x:v>domain_knowledge</x:v>
      </x:c>
      <x:c r="D37" s="28" t="str">
        <x:v>高对比下摆落在显著横向区域时，可能强化该处注意</x:v>
      </x:c>
      <x:c r="E37" s="28" t="str">
        <x:v>conditional_rule</x:v>
      </x:c>
      <x:c r="F37" s="28" t="str">
        <x:v>P1_dressing_decision; P5_visual_styling_story</x:v>
      </x:c>
      <x:c r="G37" s="28" t="str">
        <x:v>review_candidate</x:v>
      </x:c>
      <x:c r="H37" s="28" t="str">
        <x:v>batch_2_ab</x:v>
      </x:c>
      <x:c r="I37" s="28" t="str">
        <x:v>CIE-EILV-COLOR; EXP-AB-PATTERN-001</x:v>
      </x:c>
      <x:c r="J37" s="28" t="str"/>
      <x:c r="K37" s="28" t="str"/>
      <x:c r="L37" s="28" t="str">
        <x:v>diyu_global_asset_v0.2</x:v>
      </x:c>
      <x:c r="M37" s="28" t="str">
        <x:v>create_review_candidate</x:v>
      </x:c>
    </x:row>
    <x:row r="38">
      <x:c r="A38" s="28" t="str">
        <x:v>B-PROP-004</x:v>
      </x:c>
      <x:c r="B38" s="28" t="str">
        <x:v>B</x:v>
      </x:c>
      <x:c r="C38" s="28" t="str">
        <x:v>domain_knowledge</x:v>
      </x:c>
      <x:c r="D38" s="28" t="str">
        <x:v>纵向连续可以减少色块切割，但不能自动等同显高或显瘦</x:v>
      </x:c>
      <x:c r="E38" s="28" t="str">
        <x:v>conditional_rule</x:v>
      </x:c>
      <x:c r="F38" s="28" t="str">
        <x:v>P1_dressing_decision; P5_visual_styling_story</x:v>
      </x:c>
      <x:c r="G38" s="28" t="str">
        <x:v>review_candidate</x:v>
      </x:c>
      <x:c r="H38" s="28" t="str">
        <x:v>batch_2_ab</x:v>
      </x:c>
      <x:c r="I38" s="28" t="str">
        <x:v>CIE-EILV-COLOR; EXP-AB-PATTERN-001</x:v>
      </x:c>
      <x:c r="J38" s="28" t="str"/>
      <x:c r="K38" s="28" t="str"/>
      <x:c r="L38" s="28" t="str">
        <x:v>diyu_global_asset_v0.2</x:v>
      </x:c>
      <x:c r="M38" s="28" t="str">
        <x:v>create_review_candidate</x:v>
      </x:c>
    </x:row>
    <x:row r="39">
      <x:c r="A39" s="28" t="str">
        <x:v>B-SIL-001</x:v>
      </x:c>
      <x:c r="B39" s="28" t="str">
        <x:v>B</x:v>
      </x:c>
      <x:c r="C39" s="28" t="str">
        <x:v>domain_knowledge</x:v>
      </x:c>
      <x:c r="D39" s="28" t="str">
        <x:v>造型效果取决于量感分布，不只取决于宽松总量</x:v>
      </x:c>
      <x:c r="E39" s="28" t="str">
        <x:v>conditional_rule</x:v>
      </x:c>
      <x:c r="F39" s="28" t="str">
        <x:v>P1_dressing_decision; P2_product_truth; P5_visual_styling_story</x:v>
      </x:c>
      <x:c r="G39" s="28" t="str">
        <x:v>review_candidate</x:v>
      </x:c>
      <x:c r="H39" s="28" t="str">
        <x:v>batch_2_ab</x:v>
      </x:c>
      <x:c r="I39" s="28" t="str">
        <x:v>PAPER-LI-2024; EXP-AB-PATTERN-001</x:v>
      </x:c>
      <x:c r="J39" s="28" t="str"/>
      <x:c r="K39" s="28" t="str"/>
      <x:c r="L39" s="28" t="str">
        <x:v>diyu_global_asset_v0.2</x:v>
      </x:c>
      <x:c r="M39" s="28" t="str">
        <x:v>create_review_candidate</x:v>
      </x:c>
    </x:row>
    <x:row r="40">
      <x:c r="A40" s="28" t="str">
        <x:v>B-SIL-002</x:v>
      </x:c>
      <x:c r="B40" s="28" t="str">
        <x:v>B</x:v>
      </x:c>
      <x:c r="C40" s="28" t="str">
        <x:v>domain_knowledge</x:v>
      </x:c>
      <x:c r="D40" s="28" t="str">
        <x:v>宽松可以减少贴附，也可能增加整体视觉体积</x:v>
      </x:c>
      <x:c r="E40" s="28" t="str">
        <x:v>conditional_rule</x:v>
      </x:c>
      <x:c r="F40" s="28" t="str">
        <x:v>P1_dressing_decision; P2_product_truth; P5_visual_styling_story</x:v>
      </x:c>
      <x:c r="G40" s="28" t="str">
        <x:v>review_candidate</x:v>
      </x:c>
      <x:c r="H40" s="28" t="str">
        <x:v>batch_2_ab</x:v>
      </x:c>
      <x:c r="I40" s="28" t="str">
        <x:v>PAPER-LI-2024; PAPER-VESELA-2018; EXP-AB-PATTERN-001</x:v>
      </x:c>
      <x:c r="J40" s="28" t="str">
        <x:v>G-P1-WIDE-OLD-BELIEF</x:v>
      </x:c>
      <x:c r="K40" s="28" t="str"/>
      <x:c r="L40" s="28" t="str">
        <x:v>diyu_global_asset_v0.2</x:v>
      </x:c>
      <x:c r="M40" s="28" t="str">
        <x:v>create_review_candidate</x:v>
      </x:c>
    </x:row>
    <x:row r="41">
      <x:c r="A41" s="28" t="str">
        <x:v>B-SIL-003</x:v>
      </x:c>
      <x:c r="B41" s="28" t="str">
        <x:v>B</x:v>
      </x:c>
      <x:c r="C41" s="28" t="str">
        <x:v>domain_knowledge</x:v>
      </x:c>
      <x:c r="D41" s="28" t="str">
        <x:v>肩线与袖量共同决定上身视觉重音</x:v>
      </x:c>
      <x:c r="E41" s="28" t="str">
        <x:v>conditional_rule</x:v>
      </x:c>
      <x:c r="F41" s="28" t="str">
        <x:v>P1_dressing_decision; P2_product_truth; P5_visual_styling_story</x:v>
      </x:c>
      <x:c r="G41" s="28" t="str">
        <x:v>review_candidate</x:v>
      </x:c>
      <x:c r="H41" s="28" t="str">
        <x:v>batch_2_ab</x:v>
      </x:c>
      <x:c r="I41" s="28" t="str">
        <x:v>EXP-AB-PATTERN-001; PAPER-LI-2024</x:v>
      </x:c>
      <x:c r="J41" s="28" t="str"/>
      <x:c r="K41" s="28" t="str"/>
      <x:c r="L41" s="28" t="str">
        <x:v>diyu_global_asset_v0.2</x:v>
      </x:c>
      <x:c r="M41" s="28" t="str">
        <x:v>create_review_candidate</x:v>
      </x:c>
    </x:row>
    <x:row r="42">
      <x:c r="A42" s="28" t="str">
        <x:v>B-SIL-004</x:v>
      </x:c>
      <x:c r="B42" s="28" t="str">
        <x:v>B</x:v>
      </x:c>
      <x:c r="C42" s="28" t="str">
        <x:v>domain_knowledge</x:v>
      </x:c>
      <x:c r="D42" s="28" t="str">
        <x:v>直筒、锥形和外扩轮廓会形成不同的收束与运动路径</x:v>
      </x:c>
      <x:c r="E42" s="28" t="str">
        <x:v>conditional_rule</x:v>
      </x:c>
      <x:c r="F42" s="28" t="str">
        <x:v>P1_dressing_decision; P2_product_truth; P5_visual_styling_story</x:v>
      </x:c>
      <x:c r="G42" s="28" t="str">
        <x:v>review_candidate</x:v>
      </x:c>
      <x:c r="H42" s="28" t="str">
        <x:v>batch_2_ab</x:v>
      </x:c>
      <x:c r="I42" s="28" t="str">
        <x:v>EXP-AB-PATTERN-001; PAPER-LI-2024</x:v>
      </x:c>
      <x:c r="J42" s="28" t="str"/>
      <x:c r="K42" s="28" t="str"/>
      <x:c r="L42" s="28" t="str">
        <x:v>diyu_global_asset_v0.2</x:v>
      </x:c>
      <x:c r="M42" s="28" t="str">
        <x:v>create_review_candidate</x:v>
      </x:c>
    </x:row>
    <x:row r="43">
      <x:c r="A43" s="28" t="str">
        <x:v>B-TEXTURE-001</x:v>
      </x:c>
      <x:c r="B43" s="28" t="str">
        <x:v>B</x:v>
      </x:c>
      <x:c r="C43" s="28" t="str">
        <x:v>domain_knowledge</x:v>
      </x:c>
      <x:c r="D43" s="28" t="str">
        <x:v>哑光与光泽表面对高光、褶皱和视觉突出度的影响依赖光线</x:v>
      </x:c>
      <x:c r="E43" s="28" t="str">
        <x:v>conditional_rule</x:v>
      </x:c>
      <x:c r="F43" s="28" t="str">
        <x:v>P1_dressing_decision; P2_product_truth; P5_visual_styling_story</x:v>
      </x:c>
      <x:c r="G43" s="28" t="str">
        <x:v>review_candidate</x:v>
      </x:c>
      <x:c r="H43" s="28" t="str">
        <x:v>batch_2_ab</x:v>
      </x:c>
      <x:c r="I43" s="28" t="str">
        <x:v>CIE-EILV-COLOR; PAPER-WITZEL-2017; EXP-AB-STYLING-001</x:v>
      </x:c>
      <x:c r="J43" s="28" t="str"/>
      <x:c r="K43" s="28" t="str"/>
      <x:c r="L43" s="28" t="str">
        <x:v>diyu_global_asset_v0.2</x:v>
      </x:c>
      <x:c r="M43" s="28" t="str">
        <x:v>create_review_candidate</x:v>
      </x:c>
    </x:row>
    <x:row r="44">
      <x:c r="A44" s="28" t="str">
        <x:v>B-TPO-001</x:v>
      </x:c>
      <x:c r="B44" s="28" t="str">
        <x:v>B</x:v>
      </x:c>
      <x:c r="C44" s="28" t="str">
        <x:v>domain_knowledge</x:v>
      </x:c>
      <x:c r="D44" s="28" t="str">
        <x:v>正式度是剪裁、材质、整洁度、暴露程度、场景规则和关系共同形成的</x:v>
      </x:c>
      <x:c r="E44" s="28" t="str">
        <x:v>conditional_rule</x:v>
      </x:c>
      <x:c r="F44" s="28" t="str">
        <x:v>P1_dressing_decision; P2_product_truth; P3_brand_life_narrative; P4_local_response</x:v>
      </x:c>
      <x:c r="G44" s="28" t="str">
        <x:v>review_candidate</x:v>
      </x:c>
      <x:c r="H44" s="28" t="str">
        <x:v>batch_2_ab</x:v>
      </x:c>
      <x:c r="I44" s="28" t="str">
        <x:v>PAPER-HESTER-2023; EXP-AB-STYLING-001; PRJ-ADR-014</x:v>
      </x:c>
      <x:c r="J44" s="28" t="str"/>
      <x:c r="K44" s="28" t="str"/>
      <x:c r="L44" s="28" t="str">
        <x:v>diyu_global_asset_v0.2</x:v>
      </x:c>
      <x:c r="M44" s="28" t="str">
        <x:v>create_review_candidate</x:v>
      </x:c>
    </x:row>
    <x:row r="45">
      <x:c r="A45" s="28" t="str">
        <x:v>B-TPO-002</x:v>
      </x:c>
      <x:c r="B45" s="28" t="str">
        <x:v>B</x:v>
      </x:c>
      <x:c r="C45" s="28" t="str">
        <x:v>domain_knowledge</x:v>
      </x:c>
      <x:c r="D45" s="28" t="str">
        <x:v>TPO 不只包含着装规范，还包含动作、气候、时间切换与关系距离</x:v>
      </x:c>
      <x:c r="E45" s="28" t="str">
        <x:v>conditional_rule</x:v>
      </x:c>
      <x:c r="F45" s="28" t="str">
        <x:v>P1_dressing_decision; P3_brand_life_narrative; P4_local_response; P5_visual_styling_story</x:v>
      </x:c>
      <x:c r="G45" s="28" t="str">
        <x:v>review_candidate</x:v>
      </x:c>
      <x:c r="H45" s="28" t="str">
        <x:v>batch_2_ab</x:v>
      </x:c>
      <x:c r="I45" s="28" t="str">
        <x:v>PAPER-HESTER-2023; EXP-AB-STYLING-001; PRJ-ADR-014</x:v>
      </x:c>
      <x:c r="J45" s="28" t="str"/>
      <x:c r="K45" s="28" t="str"/>
      <x:c r="L45" s="28" t="str">
        <x:v>diyu_global_asset_v0.2</x:v>
      </x:c>
      <x:c r="M45" s="28" t="str">
        <x:v>create_review_candidate</x:v>
      </x:c>
    </x:row>
    <x:row r="46">
      <x:c r="A46" s="28" t="str">
        <x:v>B-VIS-001</x:v>
      </x:c>
      <x:c r="B46" s="28" t="str">
        <x:v>B</x:v>
      </x:c>
      <x:c r="C46" s="28" t="str">
        <x:v>domain_knowledge</x:v>
      </x:c>
      <x:c r="D46" s="28" t="str">
        <x:v>可见造型命题必须能被具体复述，而不是只剩抽象风格词</x:v>
      </x:c>
      <x:c r="E46" s="28" t="str">
        <x:v>conditional_rule</x:v>
      </x:c>
      <x:c r="F46" s="28" t="str">
        <x:v>P5_visual_styling_story; P1_dressing_decision; P3_brand_life_narrative; P4_local_response</x:v>
      </x:c>
      <x:c r="G46" s="28" t="str">
        <x:v>review_candidate</x:v>
      </x:c>
      <x:c r="H46" s="28" t="str">
        <x:v>batch_4_be</x:v>
      </x:c>
      <x:c r="I46" s="28" t="str">
        <x:v>PRJ-P5-CLOSE-20260721; PRJ-ADR-013; PRJ-AB-B08; EXP-BE-VISUAL-001</x:v>
      </x:c>
      <x:c r="J46" s="28" t="str">
        <x:v>BE-V01; BE-V08</x:v>
      </x:c>
      <x:c r="K46" s="28" t="str"/>
      <x:c r="L46" s="28" t="str">
        <x:v>diyu_global_asset_v0.2</x:v>
      </x:c>
      <x:c r="M46" s="28" t="str">
        <x:v>create_review_candidate</x:v>
      </x:c>
    </x:row>
    <x:row r="47">
      <x:c r="A47" s="28" t="str">
        <x:v>B-VIS-002</x:v>
      </x:c>
      <x:c r="B47" s="28" t="str">
        <x:v>B</x:v>
      </x:c>
      <x:c r="C47" s="28" t="str">
        <x:v>domain_knowledge</x:v>
      </x:c>
      <x:c r="D47" s="28" t="str">
        <x:v>商品数量由造型命题的必要关系决定，不由“搭配完整度”决定</x:v>
      </x:c>
      <x:c r="E47" s="28" t="str">
        <x:v>conditional_rule</x:v>
      </x:c>
      <x:c r="F47" s="28" t="str">
        <x:v>P5_visual_styling_story; P1_dressing_decision; P2_product_truth</x:v>
      </x:c>
      <x:c r="G47" s="28" t="str">
        <x:v>review_candidate</x:v>
      </x:c>
      <x:c r="H47" s="28" t="str">
        <x:v>batch_4_be</x:v>
      </x:c>
      <x:c r="I47" s="28" t="str">
        <x:v>PRJ-P5-CLOSE-20260721; PRJ-ADR-013; PRJ-AB-B08; EXP-BE-VISUAL-001</x:v>
      </x:c>
      <x:c r="J47" s="28" t="str">
        <x:v>BE-V09</x:v>
      </x:c>
      <x:c r="K47" s="28" t="str"/>
      <x:c r="L47" s="28" t="str">
        <x:v>diyu_global_asset_v0.2</x:v>
      </x:c>
      <x:c r="M47" s="28" t="str">
        <x:v>create_review_candidate</x:v>
      </x:c>
    </x:row>
    <x:row r="48">
      <x:c r="A48" s="28" t="str">
        <x:v>B-VIS-003</x:v>
      </x:c>
      <x:c r="B48" s="28" t="str">
        <x:v>B</x:v>
      </x:c>
      <x:c r="C48" s="28" t="str">
        <x:v>domain_knowledge</x:v>
      </x:c>
      <x:c r="D48" s="28" t="str">
        <x:v>造型命题需要由商品与身体、动作、其他单品或环境中的至少一项关系承重</x:v>
      </x:c>
      <x:c r="E48" s="28" t="str">
        <x:v>conditional_rule</x:v>
      </x:c>
      <x:c r="F48" s="28" t="str">
        <x:v>P5_visual_styling_story; P1_dressing_decision; P2_product_truth; P3_brand_life_narrative; P4_local_response</x:v>
      </x:c>
      <x:c r="G48" s="28" t="str">
        <x:v>review_candidate</x:v>
      </x:c>
      <x:c r="H48" s="28" t="str">
        <x:v>batch_4_be</x:v>
      </x:c>
      <x:c r="I48" s="28" t="str">
        <x:v>PRJ-P5-CLOSE-20260721; PRJ-MOTHER-V03; EXP-BE-VISUAL-001</x:v>
      </x:c>
      <x:c r="J48" s="28" t="str">
        <x:v>BE-V01; BE-V10</x:v>
      </x:c>
      <x:c r="K48" s="28" t="str"/>
      <x:c r="L48" s="28" t="str">
        <x:v>diyu_global_asset_v0.2</x:v>
      </x:c>
      <x:c r="M48" s="28" t="str">
        <x:v>create_review_candidate</x:v>
      </x:c>
    </x:row>
    <x:row r="49">
      <x:c r="A49" s="28" t="str">
        <x:v>B-VIS-004</x:v>
      </x:c>
      <x:c r="B49" s="28" t="str">
        <x:v>B</x:v>
      </x:c>
      <x:c r="C49" s="28" t="str">
        <x:v>domain_knowledge</x:v>
      </x:c>
      <x:c r="D49" s="28" t="str">
        <x:v>比较或变化型画面应尽量明确一个主要变量，并保留足够不变量</x:v>
      </x:c>
      <x:c r="E49" s="28" t="str">
        <x:v>conditional_rule</x:v>
      </x:c>
      <x:c r="F49" s="28" t="str">
        <x:v>P5_visual_styling_story; P1_dressing_decision; P2_product_truth</x:v>
      </x:c>
      <x:c r="G49" s="28" t="str">
        <x:v>review_candidate</x:v>
      </x:c>
      <x:c r="H49" s="28" t="str">
        <x:v>batch_4_be</x:v>
      </x:c>
      <x:c r="I49" s="28" t="str">
        <x:v>PRJ-P5-CLOSE-20260721; PRJ-ADR-014; PRJ-CDF-D; EXP-BE-VISUAL-001</x:v>
      </x:c>
      <x:c r="J49" s="28" t="str">
        <x:v>BE-V03; BE-V11</x:v>
      </x:c>
      <x:c r="K49" s="28" t="str"/>
      <x:c r="L49" s="28" t="str">
        <x:v>diyu_global_asset_v0.2</x:v>
      </x:c>
      <x:c r="M49" s="28" t="str">
        <x:v>create_review_candidate</x:v>
      </x:c>
    </x:row>
    <x:row r="50">
      <x:c r="A50" s="28" t="str">
        <x:v>B-VIS-005</x:v>
      </x:c>
      <x:c r="B50" s="28" t="str">
        <x:v>B</x:v>
      </x:c>
      <x:c r="C50" s="28" t="str">
        <x:v>domain_knowledge</x:v>
      </x:c>
      <x:c r="D50" s="28" t="str">
        <x:v>品牌审美应实质改变视觉重音、空间、动作或节奏，而不是只加标识</x:v>
      </x:c>
      <x:c r="E50" s="28" t="str">
        <x:v>creative_candidate</x:v>
      </x:c>
      <x:c r="F50" s="28" t="str">
        <x:v>P5_visual_styling_story; P3_brand_life_narrative; P4_local_response</x:v>
      </x:c>
      <x:c r="G50" s="28" t="str">
        <x:v>review_candidate</x:v>
      </x:c>
      <x:c r="H50" s="28" t="str">
        <x:v>batch_4_be</x:v>
      </x:c>
      <x:c r="I50" s="28" t="str">
        <x:v>PRJ-P5-CLOSE-20260721; PRJ-MOTHER-V03; PRJ-STRATEGY-V1; EXP-BE-VISUAL-001</x:v>
      </x:c>
      <x:c r="J50" s="28" t="str">
        <x:v>BE-V04; BE-V12</x:v>
      </x:c>
      <x:c r="K50" s="28" t="str"/>
      <x:c r="L50" s="28" t="str">
        <x:v>diyu_global_asset_v0.2</x:v>
      </x:c>
      <x:c r="M50" s="28" t="str">
        <x:v>create_review_candidate</x:v>
      </x:c>
    </x:row>
    <x:row r="51">
      <x:c r="A51" s="28" t="str">
        <x:v>B-VIS-006</x:v>
      </x:c>
      <x:c r="B51" s="28" t="str">
        <x:v>B</x:v>
      </x:c>
      <x:c r="C51" s="28" t="str">
        <x:v>domain_knowledge</x:v>
      </x:c>
      <x:c r="D51" s="28" t="str">
        <x:v>新的穿着可能可以由单帧、动作或序列直接成立，不强制故事情节</x:v>
      </x:c>
      <x:c r="E51" s="28" t="str">
        <x:v>creative_candidate</x:v>
      </x:c>
      <x:c r="F51" s="28" t="str">
        <x:v>P5_visual_styling_story; P1_dressing_decision; P2_product_truth; P3_brand_life_narrative; P4_local_response</x:v>
      </x:c>
      <x:c r="G51" s="28" t="str">
        <x:v>review_candidate</x:v>
      </x:c>
      <x:c r="H51" s="28" t="str">
        <x:v>batch_4_be</x:v>
      </x:c>
      <x:c r="I51" s="28" t="str">
        <x:v>PRJ-P5-CLOSE-20260721; PRJ-ADR-013; PRJ-ADR-014; EXP-BE-VISUAL-001</x:v>
      </x:c>
      <x:c r="J51" s="28" t="str">
        <x:v>BE-V13</x:v>
      </x:c>
      <x:c r="K51" s="28" t="str"/>
      <x:c r="L51" s="28" t="str">
        <x:v>diyu_global_asset_v0.2</x:v>
      </x:c>
      <x:c r="M51" s="28" t="str">
        <x:v>create_review_candidate</x:v>
      </x:c>
    </x:row>
    <x:row r="52">
      <x:c r="A52" s="28" t="str">
        <x:v>C-CARE-001</x:v>
      </x:c>
      <x:c r="B52" s="28" t="str">
        <x:v>C</x:v>
      </x:c>
      <x:c r="C52" s="28" t="str">
        <x:v>domain_knowledge</x:v>
      </x:c>
      <x:c r="D52" s="28" t="str">
        <x:v>照护场景常同时要求行动便利、可清理性与公共体面</x:v>
      </x:c>
      <x:c r="E52" s="28" t="str">
        <x:v>conditional_rule</x:v>
      </x:c>
      <x:c r="F52" s="28" t="str">
        <x:v>P1_dressing_decision; P3_brand_life_narrative; P4_local_response</x:v>
      </x:c>
      <x:c r="G52" s="28" t="str">
        <x:v>review_candidate</x:v>
      </x:c>
      <x:c r="H52" s="28" t="str">
        <x:v>batch_3_cdf</x:v>
      </x:c>
      <x:c r="I52" s="28" t="str">
        <x:v>PRJ-MOTHER-V03; PRJ-MEMORY; EXP-C-SCENES-001</x:v>
      </x:c>
      <x:c r="J52" s="28" t="str">
        <x:v>CDF-V03</x:v>
      </x:c>
      <x:c r="K52" s="28" t="str"/>
      <x:c r="L52" s="28" t="str">
        <x:v>diyu_global_asset_v0.2</x:v>
      </x:c>
      <x:c r="M52" s="28" t="str">
        <x:v>create_review_candidate</x:v>
      </x:c>
    </x:row>
    <x:row r="53">
      <x:c r="A53" s="28" t="str">
        <x:v>C-CARE-002</x:v>
      </x:c>
      <x:c r="B53" s="28" t="str">
        <x:v>C</x:v>
      </x:c>
      <x:c r="C53" s="28" t="str">
        <x:v>domain_knowledge</x:v>
      </x:c>
      <x:c r="D53" s="28" t="str">
        <x:v>代际穿衣分歧可以被理解为优先级差异，而不是谁更正确</x:v>
      </x:c>
      <x:c r="E53" s="28" t="str">
        <x:v>conditional_rule</x:v>
      </x:c>
      <x:c r="F53" s="28" t="str">
        <x:v>P3_brand_life_narrative; P4_local_response</x:v>
      </x:c>
      <x:c r="G53" s="28" t="str">
        <x:v>review_candidate</x:v>
      </x:c>
      <x:c r="H53" s="28" t="str">
        <x:v>batch_3_cdf</x:v>
      </x:c>
      <x:c r="I53" s="28" t="str">
        <x:v>PRJ-MOTHER-V03; PRJ-ADR-014; EXP-C-SCENES-001</x:v>
      </x:c>
      <x:c r="J53" s="28" t="str">
        <x:v>CDF-V04</x:v>
      </x:c>
      <x:c r="K53" s="28" t="str"/>
      <x:c r="L53" s="28" t="str">
        <x:v>diyu_global_asset_v0.2</x:v>
      </x:c>
      <x:c r="M53" s="28" t="str">
        <x:v>create_review_candidate</x:v>
      </x:c>
    </x:row>
    <x:row r="54">
      <x:c r="A54" s="28" t="str">
        <x:v>C-CARE-003</x:v>
      </x:c>
      <x:c r="B54" s="28" t="str">
        <x:v>C</x:v>
      </x:c>
      <x:c r="C54" s="28" t="str">
        <x:v>domain_knowledge</x:v>
      </x:c>
      <x:c r="D54" s="28" t="str">
        <x:v>照护生活的真实张力常来自被打断和无法一次准备完整</x:v>
      </x:c>
      <x:c r="E54" s="28" t="str">
        <x:v>creative_candidate</x:v>
      </x:c>
      <x:c r="F54" s="28" t="str">
        <x:v>P3_brand_life_narrative; P4_local_response</x:v>
      </x:c>
      <x:c r="G54" s="28" t="str">
        <x:v>review_candidate</x:v>
      </x:c>
      <x:c r="H54" s="28" t="str">
        <x:v>batch_3_cdf</x:v>
      </x:c>
      <x:c r="I54" s="28" t="str">
        <x:v>PRJ-MOTHER-V03; EXP-C-SCENES-001</x:v>
      </x:c>
      <x:c r="J54" s="28" t="str">
        <x:v>CDF-V03; CDF-V04</x:v>
      </x:c>
      <x:c r="K54" s="28" t="str"/>
      <x:c r="L54" s="28" t="str">
        <x:v>diyu_global_asset_v0.2</x:v>
      </x:c>
      <x:c r="M54" s="28" t="str">
        <x:v>create_review_candidate</x:v>
      </x:c>
    </x:row>
    <x:row r="55">
      <x:c r="A55" s="28" t="str">
        <x:v>C-COMMUTE-001</x:v>
      </x:c>
      <x:c r="B55" s="28" t="str">
        <x:v>C</x:v>
      </x:c>
      <x:c r="C55" s="28" t="str">
        <x:v>domain_knowledge</x:v>
      </x:c>
      <x:c r="D55" s="28" t="str">
        <x:v>通勤通常是多阶段任务，不是单一“上班场合”</x:v>
      </x:c>
      <x:c r="E55" s="28" t="str">
        <x:v>conditional_rule</x:v>
      </x:c>
      <x:c r="F55" s="28" t="str">
        <x:v>P1_dressing_decision; P3_brand_life_narrative; P4_local_response</x:v>
      </x:c>
      <x:c r="G55" s="28" t="str">
        <x:v>review_candidate</x:v>
      </x:c>
      <x:c r="H55" s="28" t="str">
        <x:v>batch_3_cdf</x:v>
      </x:c>
      <x:c r="I55" s="28" t="str">
        <x:v>PRJ-MOTHER-V03; PRJ-ADR-014; EXP-C-SCENES-001</x:v>
      </x:c>
      <x:c r="J55" s="28" t="str">
        <x:v>CDF-V01</x:v>
      </x:c>
      <x:c r="K55" s="28" t="str"/>
      <x:c r="L55" s="28" t="str">
        <x:v>diyu_global_asset_v0.2</x:v>
      </x:c>
      <x:c r="M55" s="28" t="str">
        <x:v>create_review_candidate</x:v>
      </x:c>
    </x:row>
    <x:row r="56">
      <x:c r="A56" s="28" t="str">
        <x:v>C-COMMUTE-002</x:v>
      </x:c>
      <x:c r="B56" s="28" t="str">
        <x:v>C</x:v>
      </x:c>
      <x:c r="C56" s="28" t="str">
        <x:v>domain_knowledge</x:v>
      </x:c>
      <x:c r="D56" s="28" t="str">
        <x:v>通勤方式会改变动作、暴露与携带要求</x:v>
      </x:c>
      <x:c r="E56" s="28" t="str">
        <x:v>conditional_rule</x:v>
      </x:c>
      <x:c r="F56" s="28" t="str">
        <x:v>P1_dressing_decision; P4_local_response</x:v>
      </x:c>
      <x:c r="G56" s="28" t="str">
        <x:v>review_candidate</x:v>
      </x:c>
      <x:c r="H56" s="28" t="str">
        <x:v>batch_3_cdf</x:v>
      </x:c>
      <x:c r="I56" s="28" t="str">
        <x:v>PRJ-MOTHER-V03; EXP-C-SCENES-001</x:v>
      </x:c>
      <x:c r="J56" s="28" t="str">
        <x:v>CDF-V02</x:v>
      </x:c>
      <x:c r="K56" s="28" t="str"/>
      <x:c r="L56" s="28" t="str">
        <x:v>diyu_global_asset_v0.2</x:v>
      </x:c>
      <x:c r="M56" s="28" t="str">
        <x:v>create_review_candidate</x:v>
      </x:c>
    </x:row>
    <x:row r="57">
      <x:c r="A57" s="28" t="str">
        <x:v>C-COMMUTE-003</x:v>
      </x:c>
      <x:c r="B57" s="28" t="str">
        <x:v>C</x:v>
      </x:c>
      <x:c r="C57" s="28" t="str">
        <x:v>domain_knowledge</x:v>
      </x:c>
      <x:c r="D57" s="28" t="str">
        <x:v>同一身穿着在一天中被不同角色重新读取</x:v>
      </x:c>
      <x:c r="E57" s="28" t="str">
        <x:v>creative_candidate</x:v>
      </x:c>
      <x:c r="F57" s="28" t="str">
        <x:v>P3_brand_life_narrative; P4_local_response</x:v>
      </x:c>
      <x:c r="G57" s="28" t="str">
        <x:v>review_candidate</x:v>
      </x:c>
      <x:c r="H57" s="28" t="str">
        <x:v>batch_3_cdf</x:v>
      </x:c>
      <x:c r="I57" s="28" t="str">
        <x:v>PRJ-MOTHER-V03; EXP-C-SCENES-001</x:v>
      </x:c>
      <x:c r="J57" s="28" t="str">
        <x:v>CDF-V01</x:v>
      </x:c>
      <x:c r="K57" s="28" t="str"/>
      <x:c r="L57" s="28" t="str">
        <x:v>diyu_global_asset_v0.2</x:v>
      </x:c>
      <x:c r="M57" s="28" t="str">
        <x:v>create_review_candidate</x:v>
      </x:c>
    </x:row>
    <x:row r="58">
      <x:c r="A58" s="28" t="str">
        <x:v>C-HOME-001</x:v>
      </x:c>
      <x:c r="B58" s="28" t="str">
        <x:v>C</x:v>
      </x:c>
      <x:c r="C58" s="28" t="str">
        <x:v>domain_knowledge</x:v>
      </x:c>
      <x:c r="D58" s="28" t="str">
        <x:v>从居家到公共空间可以通过少量关键调整完成</x:v>
      </x:c>
      <x:c r="E58" s="28" t="str">
        <x:v>conditional_rule</x:v>
      </x:c>
      <x:c r="F58" s="28" t="str">
        <x:v>P1_dressing_decision; P3_brand_life_narrative; P5_visual_styling_story</x:v>
      </x:c>
      <x:c r="G58" s="28" t="str">
        <x:v>review_candidate</x:v>
      </x:c>
      <x:c r="H58" s="28" t="str">
        <x:v>batch_3_cdf</x:v>
      </x:c>
      <x:c r="I58" s="28" t="str">
        <x:v>PRJ-MOTHER-V03; EXP-C-SCENES-001</x:v>
      </x:c>
      <x:c r="J58" s="28" t="str">
        <x:v>CDF-V07</x:v>
      </x:c>
      <x:c r="K58" s="28" t="str"/>
      <x:c r="L58" s="28" t="str">
        <x:v>diyu_global_asset_v0.2</x:v>
      </x:c>
      <x:c r="M58" s="28" t="str">
        <x:v>create_review_candidate</x:v>
      </x:c>
    </x:row>
    <x:row r="59">
      <x:c r="A59" s="28" t="str">
        <x:v>C-HOME-002</x:v>
      </x:c>
      <x:c r="B59" s="28" t="str">
        <x:v>C</x:v>
      </x:c>
      <x:c r="C59" s="28" t="str">
        <x:v>domain_knowledge</x:v>
      </x:c>
      <x:c r="D59" s="28" t="str">
        <x:v>舒适与整洁不是天然对立，取决于结构、状态与组合</x:v>
      </x:c>
      <x:c r="E59" s="28" t="str">
        <x:v>conditional_rule</x:v>
      </x:c>
      <x:c r="F59" s="28" t="str">
        <x:v>P1_dressing_decision; P3_brand_life_narrative; P5_visual_styling_story</x:v>
      </x:c>
      <x:c r="G59" s="28" t="str">
        <x:v>review_candidate</x:v>
      </x:c>
      <x:c r="H59" s="28" t="str">
        <x:v>batch_3_cdf</x:v>
      </x:c>
      <x:c r="I59" s="28" t="str">
        <x:v>PRJ-MOTHER-V03; EXP-C-SCENES-001</x:v>
      </x:c>
      <x:c r="J59" s="28" t="str">
        <x:v>CDF-V07</x:v>
      </x:c>
      <x:c r="K59" s="28" t="str"/>
      <x:c r="L59" s="28" t="str">
        <x:v>diyu_global_asset_v0.2</x:v>
      </x:c>
      <x:c r="M59" s="28" t="str">
        <x:v>create_review_candidate</x:v>
      </x:c>
    </x:row>
    <x:row r="60">
      <x:c r="A60" s="28" t="str">
        <x:v>C-HOME-003</x:v>
      </x:c>
      <x:c r="B60" s="28" t="str">
        <x:v>C</x:v>
      </x:c>
      <x:c r="C60" s="28" t="str">
        <x:v>domain_knowledge</x:v>
      </x:c>
      <x:c r="D60" s="28" t="str">
        <x:v>突发进入公共空间是可用的生活切换张力</x:v>
      </x:c>
      <x:c r="E60" s="28" t="str">
        <x:v>creative_candidate</x:v>
      </x:c>
      <x:c r="F60" s="28" t="str">
        <x:v>P3_brand_life_narrative; P4_local_response</x:v>
      </x:c>
      <x:c r="G60" s="28" t="str">
        <x:v>review_candidate</x:v>
      </x:c>
      <x:c r="H60" s="28" t="str">
        <x:v>batch_3_cdf</x:v>
      </x:c>
      <x:c r="I60" s="28" t="str">
        <x:v>PRJ-MOTHER-V03; EXP-C-SCENES-001</x:v>
      </x:c>
      <x:c r="J60" s="28" t="str">
        <x:v>CDF-V07</x:v>
      </x:c>
      <x:c r="K60" s="28" t="str"/>
      <x:c r="L60" s="28" t="str">
        <x:v>diyu_global_asset_v0.2</x:v>
      </x:c>
      <x:c r="M60" s="28" t="str">
        <x:v>create_review_candidate</x:v>
      </x:c>
    </x:row>
    <x:row r="61">
      <x:c r="A61" s="28" t="str">
        <x:v>C-LOCAL-001</x:v>
      </x:c>
      <x:c r="B61" s="28" t="str">
        <x:v>C</x:v>
      </x:c>
      <x:c r="C61" s="28" t="str">
        <x:v>domain_knowledge</x:v>
      </x:c>
      <x:c r="D61" s="28" t="str">
        <x:v>地域信息只有在改变处境、判断、行动或关系时才是承重上下文</x:v>
      </x:c>
      <x:c r="E61" s="28" t="str">
        <x:v>conditional_rule</x:v>
      </x:c>
      <x:c r="F61" s="28" t="str">
        <x:v>P1_dressing_decision; P4_local_response</x:v>
      </x:c>
      <x:c r="G61" s="28" t="str">
        <x:v>review_candidate</x:v>
      </x:c>
      <x:c r="H61" s="28" t="str">
        <x:v>batch_3_cdf</x:v>
      </x:c>
      <x:c r="I61" s="28" t="str">
        <x:v>PRJ-MOTHER-V03; PRJ-ADR-014; EXP-C-SCENES-001</x:v>
      </x:c>
      <x:c r="J61" s="28" t="str">
        <x:v>CDF-V08; CDF-V18</x:v>
      </x:c>
      <x:c r="K61" s="28" t="str"/>
      <x:c r="L61" s="28" t="str">
        <x:v>diyu_global_asset_v0.2</x:v>
      </x:c>
      <x:c r="M61" s="28" t="str">
        <x:v>create_review_candidate</x:v>
      </x:c>
    </x:row>
    <x:row r="62">
      <x:c r="A62" s="28" t="str">
        <x:v>C-LOCAL-002</x:v>
      </x:c>
      <x:c r="B62" s="28" t="str">
        <x:v>C</x:v>
      </x:c>
      <x:c r="C62" s="28" t="str">
        <x:v>domain_knowledge</x:v>
      </x:c>
      <x:c r="D62" s="28" t="str">
        <x:v>门店与本地关系内容必须给受众具体关系回报</x:v>
      </x:c>
      <x:c r="E62" s="28" t="str">
        <x:v>conditional_rule</x:v>
      </x:c>
      <x:c r="F62" s="28" t="str">
        <x:v>P4_local_response</x:v>
      </x:c>
      <x:c r="G62" s="28" t="str">
        <x:v>review_candidate</x:v>
      </x:c>
      <x:c r="H62" s="28" t="str">
        <x:v>batch_3_cdf</x:v>
      </x:c>
      <x:c r="I62" s="28" t="str">
        <x:v>PRJ-MOTHER-V03; PRJ-ADR-013; EXP-C-SCENES-001</x:v>
      </x:c>
      <x:c r="J62" s="28" t="str">
        <x:v>CDF-V18; CDF-V24</x:v>
      </x:c>
      <x:c r="K62" s="28" t="str"/>
      <x:c r="L62" s="28" t="str">
        <x:v>diyu_global_asset_v0.2</x:v>
      </x:c>
      <x:c r="M62" s="28" t="str">
        <x:v>create_review_candidate</x:v>
      </x:c>
    </x:row>
    <x:row r="63">
      <x:c r="A63" s="28" t="str">
        <x:v>C-LOCAL-003</x:v>
      </x:c>
      <x:c r="B63" s="28" t="str">
        <x:v>C</x:v>
      </x:c>
      <x:c r="C63" s="28" t="str">
        <x:v>domain_knowledge</x:v>
      </x:c>
      <x:c r="D63" s="28" t="str">
        <x:v>公开本地信号是当次背景，不是顾客或门店事实</x:v>
      </x:c>
      <x:c r="E63" s="28" t="str">
        <x:v>conditional_rule</x:v>
      </x:c>
      <x:c r="F63" s="28" t="str">
        <x:v>P4_local_response</x:v>
      </x:c>
      <x:c r="G63" s="28" t="str">
        <x:v>review_candidate</x:v>
      </x:c>
      <x:c r="H63" s="28" t="str">
        <x:v>batch_3_cdf</x:v>
      </x:c>
      <x:c r="I63" s="28" t="str">
        <x:v>PRJ-MOTHER-V03; PRJ-ADR-014; PRJ-ADR-006</x:v>
      </x:c>
      <x:c r="J63" s="28" t="str">
        <x:v>CDF-V18; CDF-V24</x:v>
      </x:c>
      <x:c r="K63" s="28" t="str"/>
      <x:c r="L63" s="28" t="str">
        <x:v>diyu_global_asset_v0.2</x:v>
      </x:c>
      <x:c r="M63" s="28" t="str">
        <x:v>create_review_candidate</x:v>
      </x:c>
    </x:row>
    <x:row r="64">
      <x:c r="A64" s="28" t="str">
        <x:v>C-LOCAL-004</x:v>
      </x:c>
      <x:c r="B64" s="28" t="str">
        <x:v>C</x:v>
      </x:c>
      <x:c r="C64" s="28" t="str">
        <x:v>domain_knowledge</x:v>
      </x:c>
      <x:c r="D64" s="28" t="str">
        <x:v>总部母题的在地重释应从当地生活差异出发</x:v>
      </x:c>
      <x:c r="E64" s="28" t="str">
        <x:v>creative_candidate</x:v>
      </x:c>
      <x:c r="F64" s="28" t="str">
        <x:v>P3_brand_life_narrative; P4_local_response</x:v>
      </x:c>
      <x:c r="G64" s="28" t="str">
        <x:v>review_candidate</x:v>
      </x:c>
      <x:c r="H64" s="28" t="str">
        <x:v>batch_3_cdf</x:v>
      </x:c>
      <x:c r="I64" s="28" t="str">
        <x:v>PRJ-STRATEGY-V1; PRJ-MOTHER-V03; EXP-C-SCENES-001</x:v>
      </x:c>
      <x:c r="J64" s="28" t="str">
        <x:v>CDF-V08; CDF-V18</x:v>
      </x:c>
      <x:c r="K64" s="28" t="str"/>
      <x:c r="L64" s="28" t="str">
        <x:v>diyu_global_asset_v0.2</x:v>
      </x:c>
      <x:c r="M64" s="28" t="str">
        <x:v>create_review_candidate</x:v>
      </x:c>
    </x:row>
    <x:row r="65">
      <x:c r="A65" s="28" t="str">
        <x:v>C-SOCIAL-001</x:v>
      </x:c>
      <x:c r="B65" s="28" t="str">
        <x:v>C</x:v>
      </x:c>
      <x:c r="C65" s="28" t="str">
        <x:v>domain_knowledge</x:v>
      </x:c>
      <x:c r="D65" s="28" t="str">
        <x:v>关系距离会改变正式度、自我暴露与表达幅度</x:v>
      </x:c>
      <x:c r="E65" s="28" t="str">
        <x:v>conditional_rule</x:v>
      </x:c>
      <x:c r="F65" s="28" t="str">
        <x:v>P1_dressing_decision; P3_brand_life_narrative; P4_local_response</x:v>
      </x:c>
      <x:c r="G65" s="28" t="str">
        <x:v>review_candidate</x:v>
      </x:c>
      <x:c r="H65" s="28" t="str">
        <x:v>batch_3_cdf</x:v>
      </x:c>
      <x:c r="I65" s="28" t="str">
        <x:v>PRJ-MOTHER-V03; EXP-C-SCENES-001</x:v>
      </x:c>
      <x:c r="J65" s="28" t="str">
        <x:v>CDF-V06</x:v>
      </x:c>
      <x:c r="K65" s="28" t="str"/>
      <x:c r="L65" s="28" t="str">
        <x:v>diyu_global_asset_v0.2</x:v>
      </x:c>
      <x:c r="M65" s="28" t="str">
        <x:v>create_review_candidate</x:v>
      </x:c>
    </x:row>
    <x:row r="66">
      <x:c r="A66" s="28" t="str">
        <x:v>C-SOCIAL-002</x:v>
      </x:c>
      <x:c r="B66" s="28" t="str">
        <x:v>C</x:v>
      </x:c>
      <x:c r="C66" s="28" t="str">
        <x:v>domain_knowledge</x:v>
      </x:c>
      <x:c r="D66" s="28" t="str">
        <x:v>“希望被看见”与“怕显得太用力”可以同时成立</x:v>
      </x:c>
      <x:c r="E66" s="28" t="str">
        <x:v>conditional_rule</x:v>
      </x:c>
      <x:c r="F66" s="28" t="str">
        <x:v>P1_dressing_decision; P3_brand_life_narrative; P5_visual_styling_story</x:v>
      </x:c>
      <x:c r="G66" s="28" t="str">
        <x:v>review_candidate</x:v>
      </x:c>
      <x:c r="H66" s="28" t="str">
        <x:v>batch_3_cdf</x:v>
      </x:c>
      <x:c r="I66" s="28" t="str">
        <x:v>PRJ-MOTHER-V03; EXP-C-SCENES-001</x:v>
      </x:c>
      <x:c r="J66" s="28" t="str">
        <x:v>CDF-V06</x:v>
      </x:c>
      <x:c r="K66" s="28" t="str"/>
      <x:c r="L66" s="28" t="str">
        <x:v>diyu_global_asset_v0.2</x:v>
      </x:c>
      <x:c r="M66" s="28" t="str">
        <x:v>create_review_candidate</x:v>
      </x:c>
    </x:row>
    <x:row r="67">
      <x:c r="A67" s="28" t="str">
        <x:v>C-SOCIAL-003</x:v>
      </x:c>
      <x:c r="B67" s="28" t="str">
        <x:v>C</x:v>
      </x:c>
      <x:c r="C67" s="28" t="str">
        <x:v>domain_knowledge</x:v>
      </x:c>
      <x:c r="D67" s="28" t="str">
        <x:v>社交内容可从准备、犹豫和关系判断切入</x:v>
      </x:c>
      <x:c r="E67" s="28" t="str">
        <x:v>creative_candidate</x:v>
      </x:c>
      <x:c r="F67" s="28" t="str">
        <x:v>P3_brand_life_narrative; P4_local_response</x:v>
      </x:c>
      <x:c r="G67" s="28" t="str">
        <x:v>review_candidate</x:v>
      </x:c>
      <x:c r="H67" s="28" t="str">
        <x:v>batch_3_cdf</x:v>
      </x:c>
      <x:c r="I67" s="28" t="str">
        <x:v>PRJ-MOTHER-V03; EXP-C-SCENES-001</x:v>
      </x:c>
      <x:c r="J67" s="28" t="str">
        <x:v>CDF-V06</x:v>
      </x:c>
      <x:c r="K67" s="28" t="str"/>
      <x:c r="L67" s="28" t="str">
        <x:v>diyu_global_asset_v0.2</x:v>
      </x:c>
      <x:c r="M67" s="28" t="str">
        <x:v>create_review_candidate</x:v>
      </x:c>
    </x:row>
    <x:row r="68">
      <x:c r="A68" s="28" t="str">
        <x:v>C-TRAVEL-001</x:v>
      </x:c>
      <x:c r="B68" s="28" t="str">
        <x:v>C</x:v>
      </x:c>
      <x:c r="C68" s="28" t="str">
        <x:v>domain_knowledge</x:v>
      </x:c>
      <x:c r="D68" s="28" t="str">
        <x:v>旅行中的复用价值来自组合兼容和使用条件，不是“百搭”口号</x:v>
      </x:c>
      <x:c r="E68" s="28" t="str">
        <x:v>conditional_rule</x:v>
      </x:c>
      <x:c r="F68" s="28" t="str">
        <x:v>P1_dressing_decision; P5_visual_styling_story</x:v>
      </x:c>
      <x:c r="G68" s="28" t="str">
        <x:v>review_candidate</x:v>
      </x:c>
      <x:c r="H68" s="28" t="str">
        <x:v>batch_3_cdf</x:v>
      </x:c>
      <x:c r="I68" s="28" t="str">
        <x:v>PRJ-MOTHER-V03; EXP-C-SCENES-001</x:v>
      </x:c>
      <x:c r="J68" s="28" t="str">
        <x:v>CDF-V05</x:v>
      </x:c>
      <x:c r="K68" s="28" t="str"/>
      <x:c r="L68" s="28" t="str">
        <x:v>diyu_global_asset_v0.2</x:v>
      </x:c>
      <x:c r="M68" s="28" t="str">
        <x:v>create_review_candidate</x:v>
      </x:c>
    </x:row>
    <x:row r="69">
      <x:c r="A69" s="28" t="str">
        <x:v>C-TRAVEL-002</x:v>
      </x:c>
      <x:c r="B69" s="28" t="str">
        <x:v>C</x:v>
      </x:c>
      <x:c r="C69" s="28" t="str">
        <x:v>domain_knowledge</x:v>
      </x:c>
      <x:c r="D69" s="28" t="str">
        <x:v>步行量与移动频率会改变舒适、摩擦、携带和恢复要求</x:v>
      </x:c>
      <x:c r="E69" s="28" t="str">
        <x:v>conditional_rule</x:v>
      </x:c>
      <x:c r="F69" s="28" t="str">
        <x:v>P1_dressing_decision; P5_visual_styling_story</x:v>
      </x:c>
      <x:c r="G69" s="28" t="str">
        <x:v>review_candidate</x:v>
      </x:c>
      <x:c r="H69" s="28" t="str">
        <x:v>batch_3_cdf</x:v>
      </x:c>
      <x:c r="I69" s="28" t="str">
        <x:v>PRJ-MOTHER-V03; EXP-C-SCENES-001</x:v>
      </x:c>
      <x:c r="J69" s="28" t="str">
        <x:v>CDF-V05</x:v>
      </x:c>
      <x:c r="K69" s="28" t="str"/>
      <x:c r="L69" s="28" t="str">
        <x:v>diyu_global_asset_v0.2</x:v>
      </x:c>
      <x:c r="M69" s="28" t="str">
        <x:v>create_review_candidate</x:v>
      </x:c>
    </x:row>
    <x:row r="70">
      <x:c r="A70" s="28" t="str">
        <x:v>C-TRAVEL-003</x:v>
      </x:c>
      <x:c r="B70" s="28" t="str">
        <x:v>C</x:v>
      </x:c>
      <x:c r="C70" s="28" t="str">
        <x:v>domain_knowledge</x:v>
      </x:c>
      <x:c r="D70" s="28" t="str">
        <x:v>旅行内容可以围绕未知、重复与选择成本，而不是地标打卡</x:v>
      </x:c>
      <x:c r="E70" s="28" t="str">
        <x:v>creative_candidate</x:v>
      </x:c>
      <x:c r="F70" s="28" t="str">
        <x:v>P3_brand_life_narrative; P5_visual_styling_story</x:v>
      </x:c>
      <x:c r="G70" s="28" t="str">
        <x:v>review_candidate</x:v>
      </x:c>
      <x:c r="H70" s="28" t="str">
        <x:v>batch_3_cdf</x:v>
      </x:c>
      <x:c r="I70" s="28" t="str">
        <x:v>PRJ-MOTHER-V03; EXP-C-SCENES-001</x:v>
      </x:c>
      <x:c r="J70" s="28" t="str">
        <x:v>CDF-V05</x:v>
      </x:c>
      <x:c r="K70" s="28" t="str"/>
      <x:c r="L70" s="28" t="str">
        <x:v>diyu_global_asset_v0.2</x:v>
      </x:c>
      <x:c r="M70" s="28" t="str">
        <x:v>create_review_candidate</x:v>
      </x:c>
    </x:row>
    <x:row r="71">
      <x:c r="A71" s="28" t="str">
        <x:v>D-CRAFT-001</x:v>
      </x:c>
      <x:c r="B71" s="28" t="str">
        <x:v>D</x:v>
      </x:c>
      <x:c r="C71" s="28" t="str">
        <x:v>generation_method</x:v>
      </x:c>
      <x:c r="D71" s="28" t="str">
        <x:v>每一段必须推进观察、证据、动作或关系</x:v>
      </x:c>
      <x:c r="E71" s="28" t="str">
        <x:v>content_generation</x:v>
      </x:c>
      <x:c r="F71" s="28" t="str">
        <x:v>P1_dressing_decision; P2_product_truth; P3_brand_life_narrative; P4_local_response; P5_visual_styling_story</x:v>
      </x:c>
      <x:c r="G71" s="28" t="str">
        <x:v>review_candidate</x:v>
      </x:c>
      <x:c r="H71" s="28" t="str">
        <x:v>batch_3_cdf</x:v>
      </x:c>
      <x:c r="I71" s="28" t="str">
        <x:v>PRJ-MOTHER-V03; PRJ-ADR-014; EXP-D-METHODS-001</x:v>
      </x:c>
      <x:c r="J71" s="28" t="str">
        <x:v>CDF-V22</x:v>
      </x:c>
      <x:c r="K71" s="28" t="str"/>
      <x:c r="L71" s="28" t="str">
        <x:v>diyu_global_asset_v0.2</x:v>
      </x:c>
      <x:c r="M71" s="28" t="str">
        <x:v>create_review_candidate</x:v>
      </x:c>
    </x:row>
    <x:row r="72">
      <x:c r="A72" s="28" t="str">
        <x:v>D-CRAFT-002</x:v>
      </x:c>
      <x:c r="B72" s="28" t="str">
        <x:v>D</x:v>
      </x:c>
      <x:c r="C72" s="28" t="str">
        <x:v>generation_method</x:v>
      </x:c>
      <x:c r="D72" s="28" t="str">
        <x:v>自然口语、停顿和自我修正只在符合账号时使用</x:v>
      </x:c>
      <x:c r="E72" s="28" t="str">
        <x:v>content_generation</x:v>
      </x:c>
      <x:c r="F72" s="28" t="str">
        <x:v>P1_dressing_decision; P2_product_truth; P3_brand_life_narrative; P4_local_response; P5_visual_styling_story</x:v>
      </x:c>
      <x:c r="G72" s="28" t="str">
        <x:v>review_candidate</x:v>
      </x:c>
      <x:c r="H72" s="28" t="str">
        <x:v>batch_3_cdf</x:v>
      </x:c>
      <x:c r="I72" s="28" t="str">
        <x:v>PRJ-MOTHER-V03; PRJ-ADR-014; EXP-D-METHODS-001</x:v>
      </x:c>
      <x:c r="J72" s="28" t="str">
        <x:v>CDF-V22</x:v>
      </x:c>
      <x:c r="K72" s="28" t="str"/>
      <x:c r="L72" s="28" t="str">
        <x:v>diyu_global_asset_v0.2</x:v>
      </x:c>
      <x:c r="M72" s="28" t="str">
        <x:v>create_review_candidate</x:v>
      </x:c>
    </x:row>
    <x:row r="73">
      <x:c r="A73" s="28" t="str">
        <x:v>D-DIRECT-001</x:v>
      </x:c>
      <x:c r="B73" s="28" t="str">
        <x:v>D</x:v>
      </x:c>
      <x:c r="C73" s="28" t="str">
        <x:v>generation_method</x:v>
      </x:c>
      <x:c r="D73" s="28" t="str">
        <x:v>先给可执行结论，再补决定条件</x:v>
      </x:c>
      <x:c r="E73" s="28" t="str">
        <x:v>content_generation</x:v>
      </x:c>
      <x:c r="F73" s="28" t="str">
        <x:v>P1_dressing_decision; P2_product_truth; P4_local_response</x:v>
      </x:c>
      <x:c r="G73" s="28" t="str">
        <x:v>review_candidate</x:v>
      </x:c>
      <x:c r="H73" s="28" t="str">
        <x:v>batch_3_cdf</x:v>
      </x:c>
      <x:c r="I73" s="28" t="str">
        <x:v>PRJ-ADR-014; PRJ-MOTHER-V03; EXP-D-METHODS-001</x:v>
      </x:c>
      <x:c r="J73" s="28" t="str">
        <x:v>CDF-V09</x:v>
      </x:c>
      <x:c r="K73" s="28" t="str"/>
      <x:c r="L73" s="28" t="str">
        <x:v>diyu_global_asset_v0.2</x:v>
      </x:c>
      <x:c r="M73" s="28" t="str">
        <x:v>create_review_candidate</x:v>
      </x:c>
    </x:row>
    <x:row r="74">
      <x:c r="A74" s="28" t="str">
        <x:v>D-DIRECT-002</x:v>
      </x:c>
      <x:c r="B74" s="28" t="str">
        <x:v>D</x:v>
      </x:c>
      <x:c r="C74" s="28" t="str">
        <x:v>generation_method</x:v>
      </x:c>
      <x:c r="D74" s="28" t="str">
        <x:v>把专业结论转成用户能执行的一个动作</x:v>
      </x:c>
      <x:c r="E74" s="28" t="str">
        <x:v>content_generation</x:v>
      </x:c>
      <x:c r="F74" s="28" t="str">
        <x:v>P1_dressing_decision; P2_product_truth; P4_local_response</x:v>
      </x:c>
      <x:c r="G74" s="28" t="str">
        <x:v>review_candidate</x:v>
      </x:c>
      <x:c r="H74" s="28" t="str">
        <x:v>batch_3_cdf</x:v>
      </x:c>
      <x:c r="I74" s="28" t="str">
        <x:v>PRJ-ADR-014; PRJ-ADR-006; EXP-D-METHODS-001</x:v>
      </x:c>
      <x:c r="J74" s="28" t="str">
        <x:v>CDF-V10</x:v>
      </x:c>
      <x:c r="K74" s="28" t="str"/>
      <x:c r="L74" s="28" t="str">
        <x:v>diyu_global_asset_v0.2</x:v>
      </x:c>
      <x:c r="M74" s="28" t="str">
        <x:v>create_review_candidate</x:v>
      </x:c>
    </x:row>
    <x:row r="75">
      <x:c r="A75" s="28" t="str">
        <x:v>D-DRAMA-001</x:v>
      </x:c>
      <x:c r="B75" s="28" t="str">
        <x:v>D</x:v>
      </x:c>
      <x:c r="C75" s="28" t="str">
        <x:v>generation_method</x:v>
      </x:c>
      <x:c r="D75" s="28" t="str">
        <x:v>真实种子的增益式情景化</x:v>
      </x:c>
      <x:c r="E75" s="28" t="str">
        <x:v>content_generation</x:v>
      </x:c>
      <x:c r="F75" s="28" t="str">
        <x:v>P1_dressing_decision; P2_product_truth; P3_brand_life_narrative; P4_local_response; P5_visual_styling_story</x:v>
      </x:c>
      <x:c r="G75" s="28" t="str">
        <x:v>review_candidate</x:v>
      </x:c>
      <x:c r="H75" s="28" t="str">
        <x:v>batch_3_cdf</x:v>
      </x:c>
      <x:c r="I75" s="28" t="str">
        <x:v>PRJ-ADR-014; PRJ-MOTHER-V03; EXP-D-METHODS-001</x:v>
      </x:c>
      <x:c r="J75" s="28" t="str">
        <x:v>CDF-V19</x:v>
      </x:c>
      <x:c r="K75" s="28" t="str"/>
      <x:c r="L75" s="28" t="str">
        <x:v>diyu_global_asset_v0.2</x:v>
      </x:c>
      <x:c r="M75" s="28" t="str">
        <x:v>create_review_candidate</x:v>
      </x:c>
    </x:row>
    <x:row r="76">
      <x:c r="A76" s="28" t="str">
        <x:v>D-DRAMA-002</x:v>
      </x:c>
      <x:c r="B76" s="28" t="str">
        <x:v>D</x:v>
      </x:c>
      <x:c r="C76" s="28" t="str">
        <x:v>generation_method</x:v>
      </x:c>
      <x:c r="D76" s="28" t="str">
        <x:v>假设与虚构的显式演绎</x:v>
      </x:c>
      <x:c r="E76" s="28" t="str">
        <x:v>content_generation</x:v>
      </x:c>
      <x:c r="F76" s="28" t="str">
        <x:v>P1_dressing_decision; P2_product_truth; P3_brand_life_narrative; P4_local_response; P5_visual_styling_story</x:v>
      </x:c>
      <x:c r="G76" s="28" t="str">
        <x:v>review_candidate</x:v>
      </x:c>
      <x:c r="H76" s="28" t="str">
        <x:v>batch_3_cdf</x:v>
      </x:c>
      <x:c r="I76" s="28" t="str">
        <x:v>PRJ-ADR-014; PRJ-MOTHER-V03; EXP-D-METHODS-001</x:v>
      </x:c>
      <x:c r="J76" s="28" t="str">
        <x:v>CDF-V20</x:v>
      </x:c>
      <x:c r="K76" s="28" t="str"/>
      <x:c r="L76" s="28" t="str">
        <x:v>diyu_global_asset_v0.2</x:v>
      </x:c>
      <x:c r="M76" s="28" t="str">
        <x:v>create_review_candidate</x:v>
      </x:c>
    </x:row>
    <x:row r="77">
      <x:c r="A77" s="28" t="str">
        <x:v>D-EXPLAIN-001</x:v>
      </x:c>
      <x:c r="B77" s="28" t="str">
        <x:v>D</x:v>
      </x:c>
      <x:c r="C77" s="28" t="str">
        <x:v>generation_method</x:v>
      </x:c>
      <x:c r="D77" s="28" t="str">
        <x:v>条件—效果—原因—代价—不适用的专业解释</x:v>
      </x:c>
      <x:c r="E77" s="28" t="str">
        <x:v>content_generation</x:v>
      </x:c>
      <x:c r="F77" s="28" t="str">
        <x:v>P1_dressing_decision; P2_product_truth; P3_brand_life_narrative; P4_local_response; P5_visual_styling_story</x:v>
      </x:c>
      <x:c r="G77" s="28" t="str">
        <x:v>review_candidate</x:v>
      </x:c>
      <x:c r="H77" s="28" t="str">
        <x:v>batch_3_cdf</x:v>
      </x:c>
      <x:c r="I77" s="28" t="str">
        <x:v>PRJ-ADR-014; PRJ-MOTHER-V03; EXP-D-METHODS-001</x:v>
      </x:c>
      <x:c r="J77" s="28" t="str">
        <x:v>CDF-V11</x:v>
      </x:c>
      <x:c r="K77" s="28" t="str"/>
      <x:c r="L77" s="28" t="str">
        <x:v>diyu_global_asset_v0.2</x:v>
      </x:c>
      <x:c r="M77" s="28" t="str">
        <x:v>create_review_candidate</x:v>
      </x:c>
    </x:row>
    <x:row r="78">
      <x:c r="A78" s="28" t="str">
        <x:v>D-EXPLAIN-002</x:v>
      </x:c>
      <x:c r="B78" s="28" t="str">
        <x:v>D</x:v>
      </x:c>
      <x:c r="C78" s="28" t="str">
        <x:v>generation_method</x:v>
      </x:c>
      <x:c r="D78" s="28" t="str">
        <x:v>品牌确认理由与系统专业解释分层</x:v>
      </x:c>
      <x:c r="E78" s="28" t="str">
        <x:v>content_generation</x:v>
      </x:c>
      <x:c r="F78" s="28" t="str">
        <x:v>P2_product_truth; P1_dressing_decision; P5_visual_styling_story</x:v>
      </x:c>
      <x:c r="G78" s="28" t="str">
        <x:v>review_candidate</x:v>
      </x:c>
      <x:c r="H78" s="28" t="str">
        <x:v>batch_3_cdf</x:v>
      </x:c>
      <x:c r="I78" s="28" t="str">
        <x:v>PRJ-ADR-014; PRJ-MOTHER-V03; EXP-D-METHODS-001</x:v>
      </x:c>
      <x:c r="J78" s="28" t="str">
        <x:v>CDF-V12</x:v>
      </x:c>
      <x:c r="K78" s="28" t="str"/>
      <x:c r="L78" s="28" t="str">
        <x:v>diyu_global_asset_v0.2</x:v>
      </x:c>
      <x:c r="M78" s="28" t="str">
        <x:v>create_review_candidate</x:v>
      </x:c>
    </x:row>
    <x:row r="79">
      <x:c r="A79" s="28" t="str">
        <x:v>D-PERSONA-001</x:v>
      </x:c>
      <x:c r="B79" s="28" t="str">
        <x:v>D</x:v>
      </x:c>
      <x:c r="C79" s="28" t="str">
        <x:v>generation_method</x:v>
      </x:c>
      <x:c r="D79" s="28" t="str">
        <x:v>从弱生活种子提取一条人格反应主线</x:v>
      </x:c>
      <x:c r="E79" s="28" t="str">
        <x:v>content_generation</x:v>
      </x:c>
      <x:c r="F79" s="28" t="str">
        <x:v>P3_brand_life_narrative; P4_local_response</x:v>
      </x:c>
      <x:c r="G79" s="28" t="str">
        <x:v>review_candidate</x:v>
      </x:c>
      <x:c r="H79" s="28" t="str">
        <x:v>batch_3_cdf</x:v>
      </x:c>
      <x:c r="I79" s="28" t="str">
        <x:v>PRJ-MOTHER-V03; PRJ-ADR-014; EXP-D-METHODS-001</x:v>
      </x:c>
      <x:c r="J79" s="28" t="str">
        <x:v>CDF-V15; CDF-V23</x:v>
      </x:c>
      <x:c r="K79" s="28" t="str"/>
      <x:c r="L79" s="28" t="str">
        <x:v>diyu_global_asset_v0.2</x:v>
      </x:c>
      <x:c r="M79" s="28" t="str">
        <x:v>create_review_candidate</x:v>
      </x:c>
    </x:row>
    <x:row r="80">
      <x:c r="A80" s="28" t="str">
        <x:v>D-PERSONA-002</x:v>
      </x:c>
      <x:c r="B80" s="28" t="str">
        <x:v>D</x:v>
      </x:c>
      <x:c r="C80" s="28" t="str">
        <x:v>generation_method</x:v>
      </x:c>
      <x:c r="D80" s="28" t="str">
        <x:v>保留未解决的生活毛边，不强迫给答案</x:v>
      </x:c>
      <x:c r="E80" s="28" t="str">
        <x:v>content_generation</x:v>
      </x:c>
      <x:c r="F80" s="28" t="str">
        <x:v>P3_brand_life_narrative</x:v>
      </x:c>
      <x:c r="G80" s="28" t="str">
        <x:v>review_candidate</x:v>
      </x:c>
      <x:c r="H80" s="28" t="str">
        <x:v>batch_3_cdf</x:v>
      </x:c>
      <x:c r="I80" s="28" t="str">
        <x:v>PRJ-MOTHER-V03; EXP-D-METHODS-001</x:v>
      </x:c>
      <x:c r="J80" s="28" t="str">
        <x:v>CDF-V16</x:v>
      </x:c>
      <x:c r="K80" s="28" t="str"/>
      <x:c r="L80" s="28" t="str">
        <x:v>diyu_global_asset_v0.2</x:v>
      </x:c>
      <x:c r="M80" s="28" t="str">
        <x:v>create_review_candidate</x:v>
      </x:c>
    </x:row>
    <x:row r="81">
      <x:c r="A81" s="28" t="str">
        <x:v>D-RESPONSE-001</x:v>
      </x:c>
      <x:c r="B81" s="28" t="str">
        <x:v>D</x:v>
      </x:c>
      <x:c r="C81" s="28" t="str">
        <x:v>generation_method</x:v>
      </x:c>
      <x:c r="D81" s="28" t="str">
        <x:v>把私人提问编译为有公共观看价值的回应</x:v>
      </x:c>
      <x:c r="E81" s="28" t="str">
        <x:v>content_generation</x:v>
      </x:c>
      <x:c r="F81" s="28" t="str">
        <x:v>P1_dressing_decision; P2_product_truth; P4_local_response</x:v>
      </x:c>
      <x:c r="G81" s="28" t="str">
        <x:v>review_candidate</x:v>
      </x:c>
      <x:c r="H81" s="28" t="str">
        <x:v>batch_3_cdf</x:v>
      </x:c>
      <x:c r="I81" s="28" t="str">
        <x:v>PRJ-MOTHER-V03; PRJ-ADR-011; EXP-D-METHODS-001</x:v>
      </x:c>
      <x:c r="J81" s="28" t="str">
        <x:v>CDF-V17</x:v>
      </x:c>
      <x:c r="K81" s="28" t="str"/>
      <x:c r="L81" s="28" t="str">
        <x:v>diyu_global_asset_v0.2</x:v>
      </x:c>
      <x:c r="M81" s="28" t="str">
        <x:v>create_review_candidate</x:v>
      </x:c>
    </x:row>
    <x:row r="82">
      <x:c r="A82" s="28" t="str">
        <x:v>D-RESPONSE-002</x:v>
      </x:c>
      <x:c r="B82" s="28" t="str">
        <x:v>D</x:v>
      </x:c>
      <x:c r="C82" s="28" t="str">
        <x:v>generation_method</x:v>
      </x:c>
      <x:c r="D82" s="28" t="str">
        <x:v>在地关系三关编译</x:v>
      </x:c>
      <x:c r="E82" s="28" t="str">
        <x:v>content_generation</x:v>
      </x:c>
      <x:c r="F82" s="28" t="str">
        <x:v>P4_local_response</x:v>
      </x:c>
      <x:c r="G82" s="28" t="str">
        <x:v>review_candidate</x:v>
      </x:c>
      <x:c r="H82" s="28" t="str">
        <x:v>batch_3_cdf</x:v>
      </x:c>
      <x:c r="I82" s="28" t="str">
        <x:v>PRJ-MOTHER-V03; PRJ-ADR-014; EXP-D-METHODS-001</x:v>
      </x:c>
      <x:c r="J82" s="28" t="str">
        <x:v>CDF-V18; CDF-V24</x:v>
      </x:c>
      <x:c r="K82" s="28" t="str"/>
      <x:c r="L82" s="28" t="str">
        <x:v>diyu_global_asset_v0.2</x:v>
      </x:c>
      <x:c r="M82" s="28" t="str">
        <x:v>create_review_candidate</x:v>
      </x:c>
    </x:row>
    <x:row r="83">
      <x:c r="A83" s="28" t="str">
        <x:v>D-REVERSAL-001</x:v>
      </x:c>
      <x:c r="B83" s="28" t="str">
        <x:v>D</x:v>
      </x:c>
      <x:c r="C83" s="28" t="str">
        <x:v>generation_method</x:v>
      </x:c>
      <x:c r="D83" s="28" t="str">
        <x:v>用真实变化修正一个旧判断</x:v>
      </x:c>
      <x:c r="E83" s="28" t="str">
        <x:v>content_generation</x:v>
      </x:c>
      <x:c r="F83" s="28" t="str">
        <x:v>P1_dressing_decision; P2_product_truth; P3_brand_life_narrative</x:v>
      </x:c>
      <x:c r="G83" s="28" t="str">
        <x:v>review_candidate</x:v>
      </x:c>
      <x:c r="H83" s="28" t="str">
        <x:v>batch_3_cdf</x:v>
      </x:c>
      <x:c r="I83" s="28" t="str">
        <x:v>PRJ-MOTHER-V03; PRJ-ADR-014; EXP-D-METHODS-001</x:v>
      </x:c>
      <x:c r="J83" s="28" t="str">
        <x:v>CDF-V13</x:v>
      </x:c>
      <x:c r="K83" s="28" t="str"/>
      <x:c r="L83" s="28" t="str">
        <x:v>diyu_global_asset_v0.2</x:v>
      </x:c>
      <x:c r="M83" s="28" t="str">
        <x:v>create_review_candidate</x:v>
      </x:c>
    </x:row>
    <x:row r="84">
      <x:c r="A84" s="28" t="str">
        <x:v>D-REVERSAL-002</x:v>
      </x:c>
      <x:c r="B84" s="28" t="str">
        <x:v>D</x:v>
      </x:c>
      <x:c r="C84" s="28" t="str">
        <x:v>generation_method</x:v>
      </x:c>
      <x:c r="D84" s="28" t="str">
        <x:v>让动作、对比或画面承担认知变化</x:v>
      </x:c>
      <x:c r="E84" s="28" t="str">
        <x:v>content_generation</x:v>
      </x:c>
      <x:c r="F84" s="28" t="str">
        <x:v>P1_dressing_decision; P2_product_truth; P5_visual_styling_story</x:v>
      </x:c>
      <x:c r="G84" s="28" t="str">
        <x:v>review_candidate</x:v>
      </x:c>
      <x:c r="H84" s="28" t="str">
        <x:v>batch_3_cdf</x:v>
      </x:c>
      <x:c r="I84" s="28" t="str">
        <x:v>PRJ-P5-CLOSE-20260721; PRJ-MOTHER-V03; EXP-D-METHODS-001</x:v>
      </x:c>
      <x:c r="J84" s="28" t="str">
        <x:v>CDF-V14</x:v>
      </x:c>
      <x:c r="K84" s="28" t="str"/>
      <x:c r="L84" s="28" t="str">
        <x:v>diyu_global_asset_v0.2</x:v>
      </x:c>
      <x:c r="M84" s="28" t="str">
        <x:v>create_review_candidate</x:v>
      </x:c>
    </x:row>
    <x:row r="85">
      <x:c r="A85" s="28" t="str">
        <x:v>D-RHETORIC-001</x:v>
      </x:c>
      <x:c r="B85" s="28" t="str">
        <x:v>D</x:v>
      </x:c>
      <x:c r="C85" s="28" t="str">
        <x:v>generation_method</x:v>
      </x:c>
      <x:c r="D85" s="28" t="str">
        <x:v>把幽默、比喻和反差当作解释器</x:v>
      </x:c>
      <x:c r="E85" s="28" t="str">
        <x:v>content_generation</x:v>
      </x:c>
      <x:c r="F85" s="28" t="str">
        <x:v>P1_dressing_decision; P2_product_truth; P3_brand_life_narrative; P4_local_response; P5_visual_styling_story</x:v>
      </x:c>
      <x:c r="G85" s="28" t="str">
        <x:v>review_candidate</x:v>
      </x:c>
      <x:c r="H85" s="28" t="str">
        <x:v>batch_3_cdf</x:v>
      </x:c>
      <x:c r="I85" s="28" t="str">
        <x:v>PRJ-ADR-014; PRJ-MOTHER-V03; EXP-D-METHODS-001</x:v>
      </x:c>
      <x:c r="J85" s="28" t="str">
        <x:v>CDF-V21</x:v>
      </x:c>
      <x:c r="K85" s="28" t="str"/>
      <x:c r="L85" s="28" t="str">
        <x:v>diyu_global_asset_v0.2</x:v>
      </x:c>
      <x:c r="M85" s="28" t="str">
        <x:v>create_review_candidate</x:v>
      </x:c>
    </x:row>
    <x:row r="86">
      <x:c r="A86" s="28" t="str">
        <x:v>D-RHETORIC-002</x:v>
      </x:c>
      <x:c r="B86" s="28" t="str">
        <x:v>D</x:v>
      </x:c>
      <x:c r="C86" s="28" t="str">
        <x:v>generation_method</x:v>
      </x:c>
      <x:c r="D86" s="28" t="str">
        <x:v>一条内容只保留一条主情绪路线</x:v>
      </x:c>
      <x:c r="E86" s="28" t="str">
        <x:v>content_generation</x:v>
      </x:c>
      <x:c r="F86" s="28" t="str">
        <x:v>P1_dressing_decision; P2_product_truth; P3_brand_life_narrative; P4_local_response; P5_visual_styling_story</x:v>
      </x:c>
      <x:c r="G86" s="28" t="str">
        <x:v>review_candidate</x:v>
      </x:c>
      <x:c r="H86" s="28" t="str">
        <x:v>batch_3_cdf</x:v>
      </x:c>
      <x:c r="I86" s="28" t="str">
        <x:v>PRJ-MEMORY; PRJ-MOTHER-V03; EXP-D-METHODS-001</x:v>
      </x:c>
      <x:c r="J86" s="28" t="str">
        <x:v>CDF-V21</x:v>
      </x:c>
      <x:c r="K86" s="28" t="str"/>
      <x:c r="L86" s="28" t="str">
        <x:v>diyu_global_asset_v0.2</x:v>
      </x:c>
      <x:c r="M86" s="28" t="str">
        <x:v>create_review_candidate</x:v>
      </x:c>
    </x:row>
    <x:row r="87">
      <x:c r="A87" s="28" t="str">
        <x:v>E-ACTUALITY-001</x:v>
      </x:c>
      <x:c r="B87" s="28" t="str">
        <x:v>E</x:v>
      </x:c>
      <x:c r="C87" s="28" t="str">
        <x:v>generation_method</x:v>
      </x:c>
      <x:c r="D87" s="28" t="str">
        <x:v>区分概念方案、摆拍捕捉与实际捕捉，不把故事真实性和媒体真实性混成一维</x:v>
      </x:c>
      <x:c r="E87" s="28" t="str">
        <x:v>production_media</x:v>
      </x:c>
      <x:c r="F87" s="28" t="str">
        <x:v>P1_dressing_decision; P2_product_truth; P3_brand_life_narrative; P4_local_response; P5_visual_styling_story</x:v>
      </x:c>
      <x:c r="G87" s="28" t="str">
        <x:v>review_candidate</x:v>
      </x:c>
      <x:c r="H87" s="28" t="str">
        <x:v>batch_4_be</x:v>
      </x:c>
      <x:c r="I87" s="28" t="str">
        <x:v>PRJ-ADR-002; PRJ-ADR-014; PRJ-P5-CLOSE-20260721; EXP-BE-MEDIA-001</x:v>
      </x:c>
      <x:c r="J87" s="28" t="str">
        <x:v>BE-V07; BE-V30</x:v>
      </x:c>
      <x:c r="K87" s="28" t="str"/>
      <x:c r="L87" s="28" t="str">
        <x:v>diyu_global_asset_v0.2</x:v>
      </x:c>
      <x:c r="M87" s="28" t="str">
        <x:v>create_review_candidate</x:v>
      </x:c>
    </x:row>
    <x:row r="88">
      <x:c r="A88" s="28" t="str">
        <x:v>E-ADAPT-001</x:v>
      </x:c>
      <x:c r="B88" s="28" t="str">
        <x:v>E</x:v>
      </x:c>
      <x:c r="C88" s="28" t="str">
        <x:v>generation_method</x:v>
      </x:c>
      <x:c r="D88" s="28" t="str">
        <x:v>跨媒体改写保持业务不变量，重新组织表现变量</x:v>
      </x:c>
      <x:c r="E88" s="28" t="str">
        <x:v>production_media</x:v>
      </x:c>
      <x:c r="F88" s="28" t="str">
        <x:v>P1_dressing_decision; P2_product_truth; P3_brand_life_narrative; P4_local_response; P5_visual_styling_story</x:v>
      </x:c>
      <x:c r="G88" s="28" t="str">
        <x:v>review_candidate</x:v>
      </x:c>
      <x:c r="H88" s="28" t="str">
        <x:v>batch_4_be</x:v>
      </x:c>
      <x:c r="I88" s="28" t="str">
        <x:v>PRJ-ADR-014; PRJ-D032-BOUNDARY; EXP-BE-MEDIA-001</x:v>
      </x:c>
      <x:c r="J88" s="28" t="str">
        <x:v>BE-V26</x:v>
      </x:c>
      <x:c r="K88" s="28" t="str"/>
      <x:c r="L88" s="28" t="str">
        <x:v>diyu_global_asset_v0.2</x:v>
      </x:c>
      <x:c r="M88" s="28" t="str">
        <x:v>create_review_candidate</x:v>
      </x:c>
    </x:row>
    <x:row r="89">
      <x:c r="A89" s="28" t="str">
        <x:v>E-COLOR-001</x:v>
      </x:c>
      <x:c r="B89" s="28" t="str">
        <x:v>E</x:v>
      </x:c>
      <x:c r="C89" s="28" t="str">
        <x:v>generation_method</x:v>
      </x:c>
      <x:c r="D89" s="28" t="str">
        <x:v>光线和调色可以组织情绪，但不能误导商品颜色、纹理和结构</x:v>
      </x:c>
      <x:c r="E89" s="28" t="str">
        <x:v>production_media</x:v>
      </x:c>
      <x:c r="F89" s="28" t="str">
        <x:v>P5_visual_styling_story; P2_product_truth; P1_dressing_decision; P3_brand_life_narrative; P4_local_response</x:v>
      </x:c>
      <x:c r="G89" s="28" t="str">
        <x:v>review_candidate</x:v>
      </x:c>
      <x:c r="H89" s="28" t="str">
        <x:v>batch_4_be</x:v>
      </x:c>
      <x:c r="I89" s="28" t="str">
        <x:v>PRJ-P5-CLOSE-20260721; PRJ-AB-B08; EXP-BE-VISUAL-001</x:v>
      </x:c>
      <x:c r="J89" s="28" t="str">
        <x:v>BE-V29</x:v>
      </x:c>
      <x:c r="K89" s="28" t="str"/>
      <x:c r="L89" s="28" t="str">
        <x:v>diyu_global_asset_v0.2</x:v>
      </x:c>
      <x:c r="M89" s="28" t="str">
        <x:v>create_review_candidate</x:v>
      </x:c>
    </x:row>
    <x:row r="90">
      <x:c r="A90" s="28" t="str">
        <x:v>E-FORM-001</x:v>
      </x:c>
      <x:c r="B90" s="28" t="str">
        <x:v>E</x:v>
      </x:c>
      <x:c r="C90" s="28" t="str">
        <x:v>generation_method</x:v>
      </x:c>
      <x:c r="D90" s="28" t="str">
        <x:v>根据主要产品价值选择表现语法，不让形式反向决定路由</x:v>
      </x:c>
      <x:c r="E90" s="28" t="str">
        <x:v>production_media</x:v>
      </x:c>
      <x:c r="F90" s="28" t="str">
        <x:v>P1_dressing_decision; P2_product_truth; P3_brand_life_narrative; P4_local_response; P5_visual_styling_story</x:v>
      </x:c>
      <x:c r="G90" s="28" t="str">
        <x:v>review_candidate</x:v>
      </x:c>
      <x:c r="H90" s="28" t="str">
        <x:v>batch_4_be</x:v>
      </x:c>
      <x:c r="I90" s="28" t="str">
        <x:v>PRJ-ADR-013; PRJ-ADR-014; PRJ-MOTHER-V03; EXP-BE-MEDIA-001</x:v>
      </x:c>
      <x:c r="J90" s="28" t="str">
        <x:v>BE-V21</x:v>
      </x:c>
      <x:c r="K90" s="28" t="str"/>
      <x:c r="L90" s="28" t="str">
        <x:v>diyu_global_asset_v0.2</x:v>
      </x:c>
      <x:c r="M90" s="28" t="str">
        <x:v>create_review_candidate</x:v>
      </x:c>
    </x:row>
    <x:row r="91">
      <x:c r="A91" s="28" t="str">
        <x:v>E-FORM-002</x:v>
      </x:c>
      <x:c r="B91" s="28" t="str">
        <x:v>E</x:v>
      </x:c>
      <x:c r="C91" s="28" t="str">
        <x:v>generation_method</x:v>
      </x:c>
      <x:c r="D91" s="28" t="str">
        <x:v>纯视觉只在主要关系无需语言补证时使用</x:v>
      </x:c>
      <x:c r="E91" s="28" t="str">
        <x:v>production_media</x:v>
      </x:c>
      <x:c r="F91" s="28" t="str">
        <x:v>P5_visual_styling_story; P1_dressing_decision; P2_product_truth; P3_brand_life_narrative; P4_local_response</x:v>
      </x:c>
      <x:c r="G91" s="28" t="str">
        <x:v>review_candidate</x:v>
      </x:c>
      <x:c r="H91" s="28" t="str">
        <x:v>batch_4_be</x:v>
      </x:c>
      <x:c r="I91" s="28" t="str">
        <x:v>PRJ-P5-CLOSE-20260721; EXP-BE-MEDIA-001</x:v>
      </x:c>
      <x:c r="J91" s="28" t="str">
        <x:v>BE-V13</x:v>
      </x:c>
      <x:c r="K91" s="28" t="str"/>
      <x:c r="L91" s="28" t="str">
        <x:v>diyu_global_asset_v0.2</x:v>
      </x:c>
      <x:c r="M91" s="28" t="str">
        <x:v>create_review_candidate</x:v>
      </x:c>
    </x:row>
    <x:row r="92">
      <x:c r="A92" s="28" t="str">
        <x:v>E-FORM-003</x:v>
      </x:c>
      <x:c r="B92" s="28" t="str">
        <x:v>E</x:v>
      </x:c>
      <x:c r="C92" s="28" t="str">
        <x:v>generation_method</x:v>
      </x:c>
      <x:c r="D92" s="28" t="str">
        <x:v>边讲边演示时，让话语只解释动作无法独立说明的部分</x:v>
      </x:c>
      <x:c r="E92" s="28" t="str">
        <x:v>production_media</x:v>
      </x:c>
      <x:c r="F92" s="28" t="str">
        <x:v>P1_dressing_decision; P2_product_truth; P4_local_response; P5_visual_styling_story; P3_brand_life_narrative</x:v>
      </x:c>
      <x:c r="G92" s="28" t="str">
        <x:v>review_candidate</x:v>
      </x:c>
      <x:c r="H92" s="28" t="str">
        <x:v>batch_4_be</x:v>
      </x:c>
      <x:c r="I92" s="28" t="str">
        <x:v>PRJ-ADR-014; PRJ-CDF-D; EXP-BE-MEDIA-001</x:v>
      </x:c>
      <x:c r="J92" s="28" t="str">
        <x:v>BE-V22</x:v>
      </x:c>
      <x:c r="K92" s="28" t="str"/>
      <x:c r="L92" s="28" t="str">
        <x:v>diyu_global_asset_v0.2</x:v>
      </x:c>
      <x:c r="M92" s="28" t="str">
        <x:v>create_review_candidate</x:v>
      </x:c>
    </x:row>
    <x:row r="93">
      <x:c r="A93" s="28" t="str">
        <x:v>E-FORM-004</x:v>
      </x:c>
      <x:c r="B93" s="28" t="str">
        <x:v>E</x:v>
      </x:c>
      <x:c r="C93" s="28" t="str">
        <x:v>generation_method</x:v>
      </x:c>
      <x:c r="D93" s="28" t="str">
        <x:v>旁白用于保留视觉连续和关系空间，不替画面作证</x:v>
      </x:c>
      <x:c r="E93" s="28" t="str">
        <x:v>production_media</x:v>
      </x:c>
      <x:c r="F93" s="28" t="str">
        <x:v>P2_product_truth; P3_brand_life_narrative; P4_local_response; P5_visual_styling_story; P1_dressing_decision</x:v>
      </x:c>
      <x:c r="G93" s="28" t="str">
        <x:v>review_candidate</x:v>
      </x:c>
      <x:c r="H93" s="28" t="str">
        <x:v>batch_4_be</x:v>
      </x:c>
      <x:c r="I93" s="28" t="str">
        <x:v>PRJ-ADR-014; PRJ-P5-CLOSE-20260721; EXP-BE-MEDIA-001</x:v>
      </x:c>
      <x:c r="J93" s="28" t="str">
        <x:v>BE-V22</x:v>
      </x:c>
      <x:c r="K93" s="28" t="str"/>
      <x:c r="L93" s="28" t="str">
        <x:v>diyu_global_asset_v0.2</x:v>
      </x:c>
      <x:c r="M93" s="28" t="str">
        <x:v>create_review_candidate</x:v>
      </x:c>
    </x:row>
    <x:row r="94">
      <x:c r="A94" s="28" t="str">
        <x:v>E-FORM-005</x:v>
      </x:c>
      <x:c r="B94" s="28" t="str">
        <x:v>E</x:v>
      </x:c>
      <x:c r="C94" s="28" t="str">
        <x:v>generation_method</x:v>
      </x:c>
      <x:c r="D94" s="28" t="str">
        <x:v>对话和问答只在关系或观点差异承担价值时使用</x:v>
      </x:c>
      <x:c r="E94" s="28" t="str">
        <x:v>production_media</x:v>
      </x:c>
      <x:c r="F94" s="28" t="str">
        <x:v>P3_brand_life_narrative; P4_local_response; P1_dressing_decision; P2_product_truth; P5_visual_styling_story</x:v>
      </x:c>
      <x:c r="G94" s="28" t="str">
        <x:v>review_candidate</x:v>
      </x:c>
      <x:c r="H94" s="28" t="str">
        <x:v>batch_4_be</x:v>
      </x:c>
      <x:c r="I94" s="28" t="str">
        <x:v>PRJ-ADR-014; PRJ-CDF-D; PRJ-ADR-006; EXP-BE-MEDIA-001</x:v>
      </x:c>
      <x:c r="J94" s="28" t="str">
        <x:v>BE-V23</x:v>
      </x:c>
      <x:c r="K94" s="28" t="str"/>
      <x:c r="L94" s="28" t="str">
        <x:v>diyu_global_asset_v0.2</x:v>
      </x:c>
      <x:c r="M94" s="28" t="str">
        <x:v>create_review_candidate</x:v>
      </x:c>
    </x:row>
    <x:row r="95">
      <x:c r="A95" s="28" t="str">
        <x:v>E-FORM-006</x:v>
      </x:c>
      <x:c r="B95" s="28" t="str">
        <x:v>E</x:v>
      </x:c>
      <x:c r="C95" s="28" t="str">
        <x:v>generation_method</x:v>
      </x:c>
      <x:c r="D95" s="28" t="str">
        <x:v>单帧、图片组和静物序列按关系展开需要选择</x:v>
      </x:c>
      <x:c r="E95" s="28" t="str">
        <x:v>production_media</x:v>
      </x:c>
      <x:c r="F95" s="28" t="str">
        <x:v>P1_dressing_decision; P2_product_truth; P3_brand_life_narrative; P4_local_response; P5_visual_styling_story</x:v>
      </x:c>
      <x:c r="G95" s="28" t="str">
        <x:v>review_candidate</x:v>
      </x:c>
      <x:c r="H95" s="28" t="str">
        <x:v>batch_4_be</x:v>
      </x:c>
      <x:c r="I95" s="28" t="str">
        <x:v>PRJ-D032-BOUNDARY; PRJ-P5-CLOSE-20260721; EXP-BE-MEDIA-001</x:v>
      </x:c>
      <x:c r="J95" s="28" t="str">
        <x:v>BE-V24</x:v>
      </x:c>
      <x:c r="K95" s="28" t="str"/>
      <x:c r="L95" s="28" t="str">
        <x:v>diyu_global_asset_v0.2</x:v>
      </x:c>
      <x:c r="M95" s="28" t="str">
        <x:v>create_review_candidate</x:v>
      </x:c>
    </x:row>
    <x:row r="96">
      <x:c r="A96" s="28" t="str">
        <x:v>E-MEDIA-001</x:v>
      </x:c>
      <x:c r="B96" s="28" t="str">
        <x:v>E</x:v>
      </x:c>
      <x:c r="C96" s="28" t="str">
        <x:v>generation_method</x:v>
      </x:c>
      <x:c r="D96" s="28" t="str">
        <x:v>媒体进入系统的来源路径与画面实际性保持正交</x:v>
      </x:c>
      <x:c r="E96" s="28" t="str">
        <x:v>production_media</x:v>
      </x:c>
      <x:c r="F96" s="28" t="str">
        <x:v>P1_dressing_decision; P2_product_truth; P3_brand_life_narrative; P4_local_response; P5_visual_styling_story</x:v>
      </x:c>
      <x:c r="G96" s="28" t="str">
        <x:v>review_candidate</x:v>
      </x:c>
      <x:c r="H96" s="28" t="str">
        <x:v>batch_4_be</x:v>
      </x:c>
      <x:c r="I96" s="28" t="str">
        <x:v>PRJ-ADR-008; PRJ-ADR-009; PRJ-ADR-014; EXP-BE-MEDIA-001</x:v>
      </x:c>
      <x:c r="J96" s="28" t="str">
        <x:v>BE-V30</x:v>
      </x:c>
      <x:c r="K96" s="28" t="str"/>
      <x:c r="L96" s="28" t="str">
        <x:v>diyu_global_asset_v0.2</x:v>
      </x:c>
      <x:c r="M96" s="28" t="str">
        <x:v>create_review_candidate</x:v>
      </x:c>
    </x:row>
    <x:row r="97">
      <x:c r="A97" s="28" t="str">
        <x:v>E-RESOURCE-001</x:v>
      </x:c>
      <x:c r="B97" s="28" t="str">
        <x:v>E</x:v>
      </x:c>
      <x:c r="C97" s="28" t="str">
        <x:v>generation_method</x:v>
      </x:c>
      <x:c r="D97" s="28" t="str">
        <x:v>把制作资源与表现语法分开判断</x:v>
      </x:c>
      <x:c r="E97" s="28" t="str">
        <x:v>production_media</x:v>
      </x:c>
      <x:c r="F97" s="28" t="str">
        <x:v>P1_dressing_decision; P2_product_truth; P3_brand_life_narrative; P4_local_response; P5_visual_styling_story</x:v>
      </x:c>
      <x:c r="G97" s="28" t="str">
        <x:v>review_candidate</x:v>
      </x:c>
      <x:c r="H97" s="28" t="str">
        <x:v>batch_4_be</x:v>
      </x:c>
      <x:c r="I97" s="28" t="str">
        <x:v>PRJ-ADR-014; PRJ-D032-BOUNDARY; PRJ-P5-CLOSE-20260721; EXP-BE-MEDIA-001</x:v>
      </x:c>
      <x:c r="J97" s="28" t="str">
        <x:v>BE-V14</x:v>
      </x:c>
      <x:c r="K97" s="28" t="str"/>
      <x:c r="L97" s="28" t="str">
        <x:v>diyu_global_asset_v0.2</x:v>
      </x:c>
      <x:c r="M97" s="28" t="str">
        <x:v>create_review_candidate</x:v>
      </x:c>
    </x:row>
    <x:row r="98">
      <x:c r="A98" s="28" t="str">
        <x:v>E-RESOURCE-002</x:v>
      </x:c>
      <x:c r="B98" s="28" t="str">
        <x:v>E</x:v>
      </x:c>
      <x:c r="C98" s="28" t="str">
        <x:v>generation_method</x:v>
      </x:c>
      <x:c r="D98" s="28" t="str">
        <x:v>按“主价值—承重关系—表现语法—制作资源”顺序编译</x:v>
      </x:c>
      <x:c r="E98" s="28" t="str">
        <x:v>production_media</x:v>
      </x:c>
      <x:c r="F98" s="28" t="str">
        <x:v>P1_dressing_decision; P2_product_truth; P3_brand_life_narrative; P4_local_response; P5_visual_styling_story</x:v>
      </x:c>
      <x:c r="G98" s="28" t="str">
        <x:v>review_candidate</x:v>
      </x:c>
      <x:c r="H98" s="28" t="str">
        <x:v>batch_4_be</x:v>
      </x:c>
      <x:c r="I98" s="28" t="str">
        <x:v>PRJ-ADR-013; PRJ-ADR-014; PRJ-P5-CLOSE-20260721; EXP-BE-MEDIA-001</x:v>
      </x:c>
      <x:c r="J98" s="28" t="str">
        <x:v>BE-V15</x:v>
      </x:c>
      <x:c r="K98" s="28" t="str"/>
      <x:c r="L98" s="28" t="str">
        <x:v>diyu_global_asset_v0.2</x:v>
      </x:c>
      <x:c r="M98" s="28" t="str">
        <x:v>create_review_candidate</x:v>
      </x:c>
    </x:row>
    <x:row r="99">
      <x:c r="A99" s="28" t="str">
        <x:v>E-RESOURCE-003</x:v>
      </x:c>
      <x:c r="B99" s="28" t="str">
        <x:v>E</x:v>
      </x:c>
      <x:c r="C99" s="28" t="str">
        <x:v>generation_method</x:v>
      </x:c>
      <x:c r="D99" s="28" t="str">
        <x:v>让当前真实条件直接塑造唯一主版本</x:v>
      </x:c>
      <x:c r="E99" s="28" t="str">
        <x:v>production_media</x:v>
      </x:c>
      <x:c r="F99" s="28" t="str">
        <x:v>P1_dressing_decision; P2_product_truth; P3_brand_life_narrative; P4_local_response; P5_visual_styling_story</x:v>
      </x:c>
      <x:c r="G99" s="28" t="str">
        <x:v>review_candidate</x:v>
      </x:c>
      <x:c r="H99" s="28" t="str">
        <x:v>batch_4_be</x:v>
      </x:c>
      <x:c r="I99" s="28" t="str">
        <x:v>PRJ-ADR-014; PRJ-P5-CLOSE-20260721; PRJ-D032-BOUNDARY; EXP-BE-SOLO-001</x:v>
      </x:c>
      <x:c r="J99" s="28" t="str">
        <x:v>BE-V16</x:v>
      </x:c>
      <x:c r="K99" s="28" t="str"/>
      <x:c r="L99" s="28" t="str">
        <x:v>diyu_global_asset_v0.2</x:v>
      </x:c>
      <x:c r="M99" s="28" t="str">
        <x:v>create_review_candidate</x:v>
      </x:c>
    </x:row>
    <x:row r="100">
      <x:c r="A100" s="28" t="str">
        <x:v>E-RESOURCE-004</x:v>
      </x:c>
      <x:c r="B100" s="28" t="str">
        <x:v>E</x:v>
      </x:c>
      <x:c r="C100" s="28" t="str">
        <x:v>generation_method</x:v>
      </x:c>
      <x:c r="D100" s="28" t="str">
        <x:v>团队资源只负责深化同一命题，不生成“总部版产品”</x:v>
      </x:c>
      <x:c r="E100" s="28" t="str">
        <x:v>production_media</x:v>
      </x:c>
      <x:c r="F100" s="28" t="str">
        <x:v>P1_dressing_decision; P2_product_truth; P3_brand_life_narrative; P4_local_response; P5_visual_styling_story</x:v>
      </x:c>
      <x:c r="G100" s="28" t="str">
        <x:v>review_candidate</x:v>
      </x:c>
      <x:c r="H100" s="28" t="str">
        <x:v>batch_4_be</x:v>
      </x:c>
      <x:c r="I100" s="28" t="str">
        <x:v>PRJ-P5-CLOSE-20260721; PRJ-STRATEGY-V1; PRJ-ADR-013; EXP-BE-MEDIA-001</x:v>
      </x:c>
      <x:c r="J100" s="28" t="str">
        <x:v>BE-V17</x:v>
      </x:c>
      <x:c r="K100" s="28" t="str"/>
      <x:c r="L100" s="28" t="str">
        <x:v>diyu_global_asset_v0.2</x:v>
      </x:c>
      <x:c r="M100" s="28" t="str">
        <x:v>create_review_candidate</x:v>
      </x:c>
    </x:row>
    <x:row r="101">
      <x:c r="A101" s="28" t="str">
        <x:v>E-SOLO-001</x:v>
      </x:c>
      <x:c r="B101" s="28" t="str">
        <x:v>E</x:v>
      </x:c>
      <x:c r="C101" s="28" t="str">
        <x:v>generation_method</x:v>
      </x:c>
      <x:c r="D101" s="28" t="str">
        <x:v>用固定机位和明确动作区建立单人可执行画面</x:v>
      </x:c>
      <x:c r="E101" s="28" t="str">
        <x:v>production_media</x:v>
      </x:c>
      <x:c r="F101" s="28" t="str">
        <x:v>P1_dressing_decision; P2_product_truth; P3_brand_life_narrative; P4_local_response; P5_visual_styling_story</x:v>
      </x:c>
      <x:c r="G101" s="28" t="str">
        <x:v>review_candidate</x:v>
      </x:c>
      <x:c r="H101" s="28" t="str">
        <x:v>batch_4_be</x:v>
      </x:c>
      <x:c r="I101" s="28" t="str">
        <x:v>PRJ-P5-CLOSE-20260721; PRJ-D032-BOUNDARY; EXP-BE-SOLO-001</x:v>
      </x:c>
      <x:c r="J101" s="28" t="str">
        <x:v>BE-V18; BE-V19</x:v>
      </x:c>
      <x:c r="K101" s="28" t="str"/>
      <x:c r="L101" s="28" t="str">
        <x:v>diyu_global_asset_v0.2</x:v>
      </x:c>
      <x:c r="M101" s="28" t="str">
        <x:v>create_review_candidate</x:v>
      </x:c>
    </x:row>
    <x:row r="102">
      <x:c r="A102" s="28" t="str">
        <x:v>E-SOLO-002</x:v>
      </x:c>
      <x:c r="B102" s="28" t="str">
        <x:v>E</x:v>
      </x:c>
      <x:c r="C102" s="28" t="str">
        <x:v>generation_method</x:v>
      </x:c>
      <x:c r="D102" s="28" t="str">
        <x:v>单人多景别优先靠主体距离、方向与补拍变化完成</x:v>
      </x:c>
      <x:c r="E102" s="28" t="str">
        <x:v>production_media</x:v>
      </x:c>
      <x:c r="F102" s="28" t="str">
        <x:v>P1_dressing_decision; P2_product_truth; P3_brand_life_narrative; P4_local_response; P5_visual_styling_story</x:v>
      </x:c>
      <x:c r="G102" s="28" t="str">
        <x:v>review_candidate</x:v>
      </x:c>
      <x:c r="H102" s="28" t="str">
        <x:v>batch_4_be</x:v>
      </x:c>
      <x:c r="I102" s="28" t="str">
        <x:v>PRJ-P5-CLOSE-20260721; EXP-BE-SOLO-001</x:v>
      </x:c>
      <x:c r="J102" s="28" t="str">
        <x:v>BE-V19</x:v>
      </x:c>
      <x:c r="K102" s="28" t="str"/>
      <x:c r="L102" s="28" t="str">
        <x:v>diyu_global_asset_v0.2</x:v>
      </x:c>
      <x:c r="M102" s="28" t="str">
        <x:v>create_review_candidate</x:v>
      </x:c>
    </x:row>
    <x:row r="103">
      <x:c r="A103" s="28" t="str">
        <x:v>E-SOLO-003</x:v>
      </x:c>
      <x:c r="B103" s="28" t="str">
        <x:v>E</x:v>
      </x:c>
      <x:c r="C103" s="28" t="str">
        <x:v>generation_method</x:v>
      </x:c>
      <x:c r="D103" s="28" t="str">
        <x:v>把切点放在可重复动作上，用动作连续保持关系清楚</x:v>
      </x:c>
      <x:c r="E103" s="28" t="str">
        <x:v>production_media</x:v>
      </x:c>
      <x:c r="F103" s="28" t="str">
        <x:v>P1_dressing_decision; P2_product_truth; P3_brand_life_narrative; P4_local_response; P5_visual_styling_story</x:v>
      </x:c>
      <x:c r="G103" s="28" t="str">
        <x:v>review_candidate</x:v>
      </x:c>
      <x:c r="H103" s="28" t="str">
        <x:v>batch_4_be</x:v>
      </x:c>
      <x:c r="I103" s="28" t="str">
        <x:v>PRJ-P5-CLOSE-20260721; PRJ-CDF-D; EXP-BE-SOLO-001</x:v>
      </x:c>
      <x:c r="J103" s="28" t="str">
        <x:v>BE-V01; BE-V20</x:v>
      </x:c>
      <x:c r="K103" s="28" t="str"/>
      <x:c r="L103" s="28" t="str">
        <x:v>diyu_global_asset_v0.2</x:v>
      </x:c>
      <x:c r="M103" s="28" t="str">
        <x:v>create_review_candidate</x:v>
      </x:c>
    </x:row>
    <x:row r="104">
      <x:c r="A104" s="28" t="str">
        <x:v>E-SOLO-004</x:v>
      </x:c>
      <x:c r="B104" s="28" t="str">
        <x:v>E</x:v>
      </x:c>
      <x:c r="C104" s="28" t="str">
        <x:v>generation_method</x:v>
      </x:c>
      <x:c r="D104" s="28" t="str">
        <x:v>把普通门店空间和自然光作为可控条件，而不是自动升级成布景</x:v>
      </x:c>
      <x:c r="E104" s="28" t="str">
        <x:v>production_media</x:v>
      </x:c>
      <x:c r="F104" s="28" t="str">
        <x:v>P1_dressing_decision; P2_product_truth; P3_brand_life_narrative; P4_local_response; P5_visual_styling_story</x:v>
      </x:c>
      <x:c r="G104" s="28" t="str">
        <x:v>review_candidate</x:v>
      </x:c>
      <x:c r="H104" s="28" t="str">
        <x:v>batch_4_be</x:v>
      </x:c>
      <x:c r="I104" s="28" t="str">
        <x:v>PRJ-ADR-002; PRJ-ADR-008; PRJ-P5-CLOSE-20260721; EXP-BE-SOLO-001</x:v>
      </x:c>
      <x:c r="J104" s="28" t="str">
        <x:v>BE-V19</x:v>
      </x:c>
      <x:c r="K104" s="28" t="str"/>
      <x:c r="L104" s="28" t="str">
        <x:v>diyu_global_asset_v0.2</x:v>
      </x:c>
      <x:c r="M104" s="28" t="str">
        <x:v>create_review_candidate</x:v>
      </x:c>
    </x:row>
    <x:row r="105">
      <x:c r="A105" s="28" t="str">
        <x:v>E-SOUND-001</x:v>
      </x:c>
      <x:c r="B105" s="28" t="str">
        <x:v>E</x:v>
      </x:c>
      <x:c r="C105" s="28" t="str">
        <x:v>generation_method</x:v>
      </x:c>
      <x:c r="D105" s="28" t="str">
        <x:v>环境声、脚步和衣料声优先承担质感、动作与空间信息</x:v>
      </x:c>
      <x:c r="E105" s="28" t="str">
        <x:v>production_media</x:v>
      </x:c>
      <x:c r="F105" s="28" t="str">
        <x:v>P5_visual_styling_story; P3_brand_life_narrative; P4_local_response; P2_product_truth; P1_dressing_decision</x:v>
      </x:c>
      <x:c r="G105" s="28" t="str">
        <x:v>review_candidate</x:v>
      </x:c>
      <x:c r="H105" s="28" t="str">
        <x:v>batch_4_be</x:v>
      </x:c>
      <x:c r="I105" s="28" t="str">
        <x:v>PRJ-ADR-008; PRJ-ADR-006; PRJ-P5-CLOSE-20260721; EXP-BE-MEDIA-001</x:v>
      </x:c>
      <x:c r="J105" s="28" t="str">
        <x:v>BE-V29</x:v>
      </x:c>
      <x:c r="K105" s="28" t="str"/>
      <x:c r="L105" s="28" t="str">
        <x:v>diyu_global_asset_v0.2</x:v>
      </x:c>
      <x:c r="M105" s="28" t="str">
        <x:v>create_review_candidate</x:v>
      </x:c>
    </x:row>
    <x:row r="106">
      <x:c r="A106" s="28" t="str">
        <x:v>E-SOUND-002</x:v>
      </x:c>
      <x:c r="B106" s="28" t="str">
        <x:v>E</x:v>
      </x:c>
      <x:c r="C106" s="28" t="str">
        <x:v>generation_method</x:v>
      </x:c>
      <x:c r="D106" s="28" t="str">
        <x:v>音乐与转场声只组织节奏和情绪，不替代内容关系</x:v>
      </x:c>
      <x:c r="E106" s="28" t="str">
        <x:v>production_media</x:v>
      </x:c>
      <x:c r="F106" s="28" t="str">
        <x:v>P1_dressing_decision; P2_product_truth; P3_brand_life_narrative; P4_local_response; P5_visual_styling_story</x:v>
      </x:c>
      <x:c r="G106" s="28" t="str">
        <x:v>review_candidate</x:v>
      </x:c>
      <x:c r="H106" s="28" t="str">
        <x:v>batch_4_be</x:v>
      </x:c>
      <x:c r="I106" s="28" t="str">
        <x:v>PRJ-P5-CLOSE-20260721; PRJ-D032-BOUNDARY; EXP-BE-MEDIA-001</x:v>
      </x:c>
      <x:c r="J106" s="28" t="str">
        <x:v>BE-V29</x:v>
      </x:c>
      <x:c r="K106" s="28" t="str"/>
      <x:c r="L106" s="28" t="str">
        <x:v>diyu_global_asset_v0.2</x:v>
      </x:c>
      <x:c r="M106" s="28" t="str">
        <x:v>create_review_candidate</x:v>
      </x:c>
    </x:row>
    <x:row r="107">
      <x:c r="A107" s="28" t="str">
        <x:v>E-TEXT-001</x:v>
      </x:c>
      <x:c r="B107" s="28" t="str">
        <x:v>E</x:v>
      </x:c>
      <x:c r="C107" s="28" t="str">
        <x:v>generation_method</x:v>
      </x:c>
      <x:c r="D107" s="28" t="str">
        <x:v>字幕和屏显文字只定位、压缩或强调已经成立的内容</x:v>
      </x:c>
      <x:c r="E107" s="28" t="str">
        <x:v>production_media</x:v>
      </x:c>
      <x:c r="F107" s="28" t="str">
        <x:v>P1_dressing_decision; P2_product_truth; P3_brand_life_narrative; P4_local_response; P5_visual_styling_story</x:v>
      </x:c>
      <x:c r="G107" s="28" t="str">
        <x:v>review_candidate</x:v>
      </x:c>
      <x:c r="H107" s="28" t="str">
        <x:v>batch_4_be</x:v>
      </x:c>
      <x:c r="I107" s="28" t="str">
        <x:v>PRJ-P5-CLOSE-20260721; PRJ-D032-BOUNDARY; EXP-BE-MEDIA-001</x:v>
      </x:c>
      <x:c r="J107" s="28" t="str">
        <x:v>BE-V28</x:v>
      </x:c>
      <x:c r="K107" s="28" t="str"/>
      <x:c r="L107" s="28" t="str">
        <x:v>diyu_global_asset_v0.2</x:v>
      </x:c>
      <x:c r="M107" s="28" t="str">
        <x:v>create_review_candidate</x:v>
      </x:c>
    </x:row>
    <x:row r="108">
      <x:c r="A108" s="28" t="str">
        <x:v>E-TIME-001</x:v>
      </x:c>
      <x:c r="B108" s="28" t="str">
        <x:v>E</x:v>
      </x:c>
      <x:c r="C108" s="28" t="str">
        <x:v>generation_method</x:v>
      </x:c>
      <x:c r="D108" s="28" t="str">
        <x:v>用能完整兑现主价值且无冗余的自然时长</x:v>
      </x:c>
      <x:c r="E108" s="28" t="str">
        <x:v>production_media</x:v>
      </x:c>
      <x:c r="F108" s="28" t="str">
        <x:v>P1_dressing_decision; P2_product_truth; P3_brand_life_narrative; P4_local_response; P5_visual_styling_story</x:v>
      </x:c>
      <x:c r="G108" s="28" t="str">
        <x:v>review_candidate</x:v>
      </x:c>
      <x:c r="H108" s="28" t="str">
        <x:v>batch_4_be</x:v>
      </x:c>
      <x:c r="I108" s="28" t="str">
        <x:v>PRJ-D032-BOUNDARY; PRJ-ADR-014; PRJ-CDF-D; EXP-BE-MEDIA-001</x:v>
      </x:c>
      <x:c r="J108" s="28" t="str">
        <x:v>BE-V25</x:v>
      </x:c>
      <x:c r="K108" s="28" t="str"/>
      <x:c r="L108" s="28" t="str">
        <x:v>diyu_global_asset_v0.2</x:v>
      </x:c>
      <x:c r="M108" s="28" t="str">
        <x:v>create_review_candidate</x:v>
      </x:c>
    </x:row>
    <x:row r="109">
      <x:c r="A109" s="28" t="str">
        <x:v>E-TIME-002</x:v>
      </x:c>
      <x:c r="B109" s="28" t="str">
        <x:v>E</x:v>
      </x:c>
      <x:c r="C109" s="28" t="str">
        <x:v>generation_method</x:v>
      </x:c>
      <x:c r="D109" s="28" t="str">
        <x:v>缩短时按功能重新编排，不从尾部机械截断</x:v>
      </x:c>
      <x:c r="E109" s="28" t="str">
        <x:v>production_media</x:v>
      </x:c>
      <x:c r="F109" s="28" t="str">
        <x:v>P1_dressing_decision; P2_product_truth; P3_brand_life_narrative; P4_local_response; P5_visual_styling_story</x:v>
      </x:c>
      <x:c r="G109" s="28" t="str">
        <x:v>review_candidate</x:v>
      </x:c>
      <x:c r="H109" s="28" t="str">
        <x:v>batch_4_be</x:v>
      </x:c>
      <x:c r="I109" s="28" t="str">
        <x:v>PRJ-ADR-014; PRJ-D032-BOUNDARY; PRJ-CDF-D; EXP-BE-MEDIA-001</x:v>
      </x:c>
      <x:c r="J109" s="28" t="str">
        <x:v>BE-V26</x:v>
      </x:c>
      <x:c r="K109" s="28" t="str"/>
      <x:c r="L109" s="28" t="str">
        <x:v>diyu_global_asset_v0.2</x:v>
      </x:c>
      <x:c r="M109" s="28" t="str">
        <x:v>create_review_candidate</x:v>
      </x:c>
    </x:row>
    <x:row r="110">
      <x:c r="A110" s="28" t="str">
        <x:v>E-TIME-003</x:v>
      </x:c>
      <x:c r="B110" s="28" t="str">
        <x:v>E</x:v>
      </x:c>
      <x:c r="C110" s="28" t="str">
        <x:v>generation_method</x:v>
      </x:c>
      <x:c r="D110" s="28" t="str">
        <x:v>延长时增加证据、体验或关系层次，不重复同一观点</x:v>
      </x:c>
      <x:c r="E110" s="28" t="str">
        <x:v>production_media</x:v>
      </x:c>
      <x:c r="F110" s="28" t="str">
        <x:v>P1_dressing_decision; P2_product_truth; P3_brand_life_narrative; P4_local_response; P5_visual_styling_story</x:v>
      </x:c>
      <x:c r="G110" s="28" t="str">
        <x:v>review_candidate</x:v>
      </x:c>
      <x:c r="H110" s="28" t="str">
        <x:v>batch_4_be</x:v>
      </x:c>
      <x:c r="I110" s="28" t="str">
        <x:v>PRJ-D032-BOUNDARY; PRJ-CDF-D; EXP-BE-MEDIA-001</x:v>
      </x:c>
      <x:c r="J110" s="28" t="str">
        <x:v>BE-V26</x:v>
      </x:c>
      <x:c r="K110" s="28" t="str"/>
      <x:c r="L110" s="28" t="str">
        <x:v>diyu_global_asset_v0.2</x:v>
      </x:c>
      <x:c r="M110" s="28" t="str">
        <x:v>create_review_candidate</x:v>
      </x:c>
    </x:row>
    <x:row r="111">
      <x:c r="A111" s="28" t="str">
        <x:v>E-VISUAL-001</x:v>
      </x:c>
      <x:c r="B111" s="28" t="str">
        <x:v>E</x:v>
      </x:c>
      <x:c r="C111" s="28" t="str">
        <x:v>generation_method</x:v>
      </x:c>
      <x:c r="D111" s="28" t="str">
        <x:v>让第一个主要视觉入口先给出具体观看承诺</x:v>
      </x:c>
      <x:c r="E111" s="28" t="str">
        <x:v>production_media</x:v>
      </x:c>
      <x:c r="F111" s="28" t="str">
        <x:v>P5_visual_styling_story; P1_dressing_decision; P2_product_truth; P3_brand_life_narrative; P4_local_response</x:v>
      </x:c>
      <x:c r="G111" s="28" t="str">
        <x:v>review_candidate</x:v>
      </x:c>
      <x:c r="H111" s="28" t="str">
        <x:v>batch_4_be</x:v>
      </x:c>
      <x:c r="I111" s="28" t="str">
        <x:v>PRJ-P5-CLOSE-20260721; PRJ-D032-BOUNDARY; EXP-BE-MEDIA-001</x:v>
      </x:c>
      <x:c r="J111" s="28" t="str">
        <x:v>BE-V27</x:v>
      </x:c>
      <x:c r="K111" s="28" t="str"/>
      <x:c r="L111" s="28" t="str">
        <x:v>diyu_global_asset_v0.2</x:v>
      </x:c>
      <x:c r="M111" s="28" t="str">
        <x:v>create_review_candidate</x:v>
      </x:c>
    </x:row>
    <x:row r="112">
      <x:c r="A112" s="28" t="str">
        <x:v>E-VISUAL-002</x:v>
      </x:c>
      <x:c r="B112" s="28" t="str">
        <x:v>E</x:v>
      </x:c>
      <x:c r="C112" s="28" t="str">
        <x:v>generation_method</x:v>
      </x:c>
      <x:c r="D112" s="28" t="str">
        <x:v>用主次、留白、对比和空间关系控制观看路径</x:v>
      </x:c>
      <x:c r="E112" s="28" t="str">
        <x:v>production_media</x:v>
      </x:c>
      <x:c r="F112" s="28" t="str">
        <x:v>P5_visual_styling_story; P1_dressing_decision; P2_product_truth; P3_brand_life_narrative; P4_local_response</x:v>
      </x:c>
      <x:c r="G112" s="28" t="str">
        <x:v>review_candidate</x:v>
      </x:c>
      <x:c r="H112" s="28" t="str">
        <x:v>batch_4_be</x:v>
      </x:c>
      <x:c r="I112" s="28" t="str">
        <x:v>PRJ-AB-B08; PRJ-P5-CLOSE-20260721; EXP-BE-VISUAL-001</x:v>
      </x:c>
      <x:c r="J112" s="28" t="str">
        <x:v>BE-V27</x:v>
      </x:c>
      <x:c r="K112" s="28" t="str"/>
      <x:c r="L112" s="28" t="str">
        <x:v>diyu_global_asset_v0.2</x:v>
      </x:c>
      <x:c r="M112" s="28" t="str">
        <x:v>create_review_candidate</x:v>
      </x:c>
    </x:row>
    <x:row r="113">
      <x:c r="A113" s="28" t="str">
        <x:v>E-VISUAL-003</x:v>
      </x:c>
      <x:c r="B113" s="28" t="str">
        <x:v>E</x:v>
      </x:c>
      <x:c r="C113" s="28" t="str">
        <x:v>generation_method</x:v>
      </x:c>
      <x:c r="D113" s="28" t="str">
        <x:v>让图片或镜头顺序完成入口、展开和完成，而不是堆镜头</x:v>
      </x:c>
      <x:c r="E113" s="28" t="str">
        <x:v>production_media</x:v>
      </x:c>
      <x:c r="F113" s="28" t="str">
        <x:v>P5_visual_styling_story; P1_dressing_decision; P2_product_truth; P3_brand_life_narrative; P4_local_response</x:v>
      </x:c>
      <x:c r="G113" s="28" t="str">
        <x:v>review_candidate</x:v>
      </x:c>
      <x:c r="H113" s="28" t="str">
        <x:v>batch_4_be</x:v>
      </x:c>
      <x:c r="I113" s="28" t="str">
        <x:v>PRJ-P5-CLOSE-20260721; PRJ-CDF-D; PRJ-D032-BOUNDARY; EXP-BE-MEDIA-001</x:v>
      </x:c>
      <x:c r="J113" s="28" t="str">
        <x:v>BE-V27</x:v>
      </x:c>
      <x:c r="K113" s="28" t="str"/>
      <x:c r="L113" s="28" t="str">
        <x:v>diyu_global_asset_v0.2</x:v>
      </x:c>
      <x:c r="M113" s="28" t="str">
        <x:v>create_review_candidate</x:v>
      </x:c>
    </x:row>
    <x:row r="114">
      <x:c r="A114" s="28" t="str">
        <x:v>E-VISUAL-004</x:v>
      </x:c>
      <x:c r="B114" s="28" t="str">
        <x:v>E</x:v>
      </x:c>
      <x:c r="C114" s="28" t="str">
        <x:v>generation_method</x:v>
      </x:c>
      <x:c r="D114" s="28" t="str">
        <x:v>动作连续应服务视觉理解，不为转场炫技</x:v>
      </x:c>
      <x:c r="E114" s="28" t="str">
        <x:v>production_media</x:v>
      </x:c>
      <x:c r="F114" s="28" t="str">
        <x:v>P5_visual_styling_story; P1_dressing_decision; P2_product_truth; P3_brand_life_narrative; P4_local_response</x:v>
      </x:c>
      <x:c r="G114" s="28" t="str">
        <x:v>review_candidate</x:v>
      </x:c>
      <x:c r="H114" s="28" t="str">
        <x:v>batch_4_be</x:v>
      </x:c>
      <x:c r="I114" s="28" t="str">
        <x:v>PRJ-P5-CLOSE-20260721; EXP-BE-SOLO-001</x:v>
      </x:c>
      <x:c r="J114" s="28" t="str">
        <x:v>BE-V20</x:v>
      </x:c>
      <x:c r="K114" s="28" t="str"/>
      <x:c r="L114" s="28" t="str">
        <x:v>diyu_global_asset_v0.2</x:v>
      </x:c>
      <x:c r="M114" s="28" t="str">
        <x:v>create_review_candidate</x:v>
      </x:c>
    </x:row>
    <x:row r="115">
      <x:c r="A115" s="28" t="str">
        <x:v>F-HQ-PRODUCT-001</x:v>
      </x:c>
      <x:c r="B115" s="28" t="str">
        <x:v>F</x:v>
      </x:c>
      <x:c r="C115" s="28" t="str">
        <x:v>industry_role_template</x:v>
      </x:c>
      <x:c r="D115" s="28" t="str"/>
      <x:c r="E115" s="28" t="str">
        <x:v>headquarters_product_expert</x:v>
      </x:c>
      <x:c r="F115" s="28" t="str"/>
      <x:c r="G115" s="28" t="str">
        <x:v>review_candidate</x:v>
      </x:c>
      <x:c r="H115" s="28" t="str">
        <x:v>batch_3_cdf</x:v>
      </x:c>
      <x:c r="I115" s="28" t="str">
        <x:v>PRJ-STRATEGY-V1; PRJ-ADR-005; PRJ-MOTHER-V03; EXP-F-ROLES-001</x:v>
      </x:c>
      <x:c r="J115" s="28" t="str">
        <x:v>CDF-V23</x:v>
      </x:c>
      <x:c r="K115" s="28" t="str"/>
      <x:c r="L115" s="28" t="str">
        <x:v>diyu_global_asset_v0.2</x:v>
      </x:c>
      <x:c r="M115" s="28" t="str">
        <x:v>create_review_candidate</x:v>
      </x:c>
    </x:row>
    <x:row r="116">
      <x:c r="A116" s="28" t="str">
        <x:v>F-HQ-SERVICE-001</x:v>
      </x:c>
      <x:c r="B116" s="28" t="str">
        <x:v>F</x:v>
      </x:c>
      <x:c r="C116" s="28" t="str">
        <x:v>industry_role_template</x:v>
      </x:c>
      <x:c r="D116" s="28" t="str"/>
      <x:c r="E116" s="28" t="str">
        <x:v>headquarters_retail_service_expert</x:v>
      </x:c>
      <x:c r="F116" s="28" t="str"/>
      <x:c r="G116" s="28" t="str">
        <x:v>review_candidate</x:v>
      </x:c>
      <x:c r="H116" s="28" t="str">
        <x:v>batch_3_cdf</x:v>
      </x:c>
      <x:c r="I116" s="28" t="str">
        <x:v>PRJ-STRATEGY-V1; PRJ-ADR-005; PRJ-MOTHER-V03; EXP-F-ROLES-001</x:v>
      </x:c>
      <x:c r="J116" s="28" t="str">
        <x:v>CDF-V23</x:v>
      </x:c>
      <x:c r="K116" s="28" t="str"/>
      <x:c r="L116" s="28" t="str">
        <x:v>diyu_global_asset_v0.2</x:v>
      </x:c>
      <x:c r="M116" s="28" t="str">
        <x:v>create_review_candidate</x:v>
      </x:c>
    </x:row>
    <x:row r="117">
      <x:c r="A117" s="28" t="str">
        <x:v>F-HQ-VALUE-001</x:v>
      </x:c>
      <x:c r="B117" s="28" t="str">
        <x:v>F</x:v>
      </x:c>
      <x:c r="C117" s="28" t="str">
        <x:v>industry_role_template</x:v>
      </x:c>
      <x:c r="D117" s="28" t="str"/>
      <x:c r="E117" s="28" t="str">
        <x:v>headquarters_brand_value</x:v>
      </x:c>
      <x:c r="F117" s="28" t="str"/>
      <x:c r="G117" s="28" t="str">
        <x:v>review_candidate</x:v>
      </x:c>
      <x:c r="H117" s="28" t="str">
        <x:v>batch_3_cdf</x:v>
      </x:c>
      <x:c r="I117" s="28" t="str">
        <x:v>PRJ-STRATEGY-V1; PRJ-ADR-005; PRJ-MOTHER-V03; EXP-F-ROLES-001</x:v>
      </x:c>
      <x:c r="J117" s="28" t="str">
        <x:v>CDF-V23</x:v>
      </x:c>
      <x:c r="K117" s="28" t="str"/>
      <x:c r="L117" s="28" t="str">
        <x:v>diyu_global_asset_v0.2</x:v>
      </x:c>
      <x:c r="M117" s="28" t="str">
        <x:v>create_review_candidate</x:v>
      </x:c>
    </x:row>
    <x:row r="118">
      <x:c r="A118" s="28" t="str">
        <x:v>F-MATRIX-001</x:v>
      </x:c>
      <x:c r="B118" s="28" t="str">
        <x:v>F</x:v>
      </x:c>
      <x:c r="C118" s="28" t="str">
        <x:v>industry_role_template</x:v>
      </x:c>
      <x:c r="D118" s="28" t="str"/>
      <x:c r="E118" s="28" t="str">
        <x:v>three_level_ip_matrix_planning</x:v>
      </x:c>
      <x:c r="F118" s="28" t="str"/>
      <x:c r="G118" s="28" t="str">
        <x:v>review_candidate</x:v>
      </x:c>
      <x:c r="H118" s="28" t="str">
        <x:v>batch_3_cdf</x:v>
      </x:c>
      <x:c r="I118" s="28" t="str">
        <x:v>PRJ-STRATEGY-V1; PRJ-ADR-005; PRJ-MOTHER-V03; PRJ-ADR-014; EXP-F-ROLES-001</x:v>
      </x:c>
      <x:c r="J118" s="28" t="str">
        <x:v>CDF-V25</x:v>
      </x:c>
      <x:c r="K118" s="28" t="str"/>
      <x:c r="L118" s="28" t="str">
        <x:v>diyu_global_asset_v0.2</x:v>
      </x:c>
      <x:c r="M118" s="28" t="str">
        <x:v>create_review_candidate</x:v>
      </x:c>
    </x:row>
    <x:row r="119">
      <x:c r="A119" s="28" t="str">
        <x:v>F-REGION-OPERATOR-001</x:v>
      </x:c>
      <x:c r="B119" s="28" t="str">
        <x:v>F</x:v>
      </x:c>
      <x:c r="C119" s="28" t="str">
        <x:v>industry_role_template</x:v>
      </x:c>
      <x:c r="D119" s="28" t="str"/>
      <x:c r="E119" s="28" t="str">
        <x:v>regional_business_operator</x:v>
      </x:c>
      <x:c r="F119" s="28" t="str"/>
      <x:c r="G119" s="28" t="str">
        <x:v>review_candidate</x:v>
      </x:c>
      <x:c r="H119" s="28" t="str">
        <x:v>batch_3_cdf</x:v>
      </x:c>
      <x:c r="I119" s="28" t="str">
        <x:v>PRJ-STRATEGY-V1; PRJ-ADR-005; PRJ-MOTHER-V03; EXP-F-ROLES-001</x:v>
      </x:c>
      <x:c r="J119" s="28" t="str">
        <x:v>CDF-V24</x:v>
      </x:c>
      <x:c r="K119" s="28" t="str"/>
      <x:c r="L119" s="28" t="str">
        <x:v>diyu_global_asset_v0.2</x:v>
      </x:c>
      <x:c r="M119" s="28" t="str">
        <x:v>create_review_candidate</x:v>
      </x:c>
    </x:row>
    <x:row r="120">
      <x:c r="A120" s="28" t="str">
        <x:v>F-STORE-ADVISOR-001</x:v>
      </x:c>
      <x:c r="B120" s="28" t="str">
        <x:v>F</x:v>
      </x:c>
      <x:c r="C120" s="28" t="str">
        <x:v>industry_role_template</x:v>
      </x:c>
      <x:c r="D120" s="28" t="str"/>
      <x:c r="E120" s="28" t="str">
        <x:v>store_styling_advisor</x:v>
      </x:c>
      <x:c r="F120" s="28" t="str"/>
      <x:c r="G120" s="28" t="str">
        <x:v>review_candidate</x:v>
      </x:c>
      <x:c r="H120" s="28" t="str">
        <x:v>batch_3_cdf</x:v>
      </x:c>
      <x:c r="I120" s="28" t="str">
        <x:v>PRJ-STRATEGY-V1; PRJ-ADR-005; PRJ-MOTHER-V03; EXP-F-ROLES-001</x:v>
      </x:c>
      <x:c r="J120" s="28" t="str">
        <x:v>CDF-V23</x:v>
      </x:c>
      <x:c r="K120" s="28" t="str"/>
      <x:c r="L120" s="28" t="str">
        <x:v>diyu_global_asset_v0.2</x:v>
      </x:c>
      <x:c r="M120" s="28" t="str">
        <x:v>create_review_candidate</x:v>
      </x:c>
    </x:row>
    <x:row r="121">
      <x:c r="A121" s="28" t="str">
        <x:v>F-STORE-MANAGER-001</x:v>
      </x:c>
      <x:c r="B121" s="28" t="str">
        <x:v>F</x:v>
      </x:c>
      <x:c r="C121" s="28" t="str">
        <x:v>industry_role_template</x:v>
      </x:c>
      <x:c r="D121" s="28" t="str"/>
      <x:c r="E121" s="28" t="str">
        <x:v>store_manager_operator</x:v>
      </x:c>
      <x:c r="F121" s="28" t="str"/>
      <x:c r="G121" s="28" t="str">
        <x:v>review_candidate</x:v>
      </x:c>
      <x:c r="H121" s="28" t="str">
        <x:v>batch_3_cdf</x:v>
      </x:c>
      <x:c r="I121" s="28" t="str">
        <x:v>PRJ-STRATEGY-V1; PRJ-ADR-005; PRJ-MOTHER-V03; EXP-F-ROLES-001</x:v>
      </x:c>
      <x:c r="J121" s="28" t="str">
        <x:v>CDF-V23; CDF-V24</x:v>
      </x:c>
      <x:c r="K121" s="28" t="str"/>
      <x:c r="L121" s="28" t="str">
        <x:v>diyu_global_asset_v0.2</x:v>
      </x:c>
      <x:c r="M121" s="28" t="str">
        <x:v>create_review_candidate</x:v>
      </x:c>
    </x:row>
    <x:row r="122">
      <x:c r="A122" s="28" t="str">
        <x:v>F-SYMBOL-001</x:v>
      </x:c>
      <x:c r="B122" s="28" t="str">
        <x:v>F</x:v>
      </x:c>
      <x:c r="C122" s="28" t="str">
        <x:v>industry_role_template</x:v>
      </x:c>
      <x:c r="D122" s="28" t="str"/>
      <x:c r="E122" s="28" t="str">
        <x:v>non_human_product_or_column_symbol</x:v>
      </x:c>
      <x:c r="F122" s="28" t="str"/>
      <x:c r="G122" s="28" t="str">
        <x:v>review_candidate</x:v>
      </x:c>
      <x:c r="H122" s="28" t="str">
        <x:v>batch_3_cdf</x:v>
      </x:c>
      <x:c r="I122" s="28" t="str">
        <x:v>PRJ-STRATEGY-V1; PRJ-ADR-013; PRJ-MOTHER-V03; EXP-F-ROLES-001</x:v>
      </x:c>
      <x:c r="J122" s="28" t="str">
        <x:v>CDF-V25</x:v>
      </x:c>
      <x:c r="K122" s="28" t="str"/>
      <x:c r="L122" s="28" t="str">
        <x:v>diyu_global_asset_v0.2</x:v>
      </x:c>
      <x:c r="M122" s="28" t="str">
        <x:v>create_review_candidate</x:v>
      </x:c>
    </x:row>
    <x:row r="123">
      <x:c r="A123" s="28" t="str">
        <x:v>G-DENSITY-001</x:v>
      </x:c>
      <x:c r="B123" s="28" t="str">
        <x:v>G</x:v>
      </x:c>
      <x:c r="C123" s="28" t="str">
        <x:v>domain_knowledge</x:v>
      </x:c>
      <x:c r="D123" s="28" t="str">
        <x:v>容量是约束上限，不是视觉目标</x:v>
      </x:c>
      <x:c r="E123" s="28" t="str">
        <x:v>conditional_rule</x:v>
      </x:c>
      <x:c r="F123" s="28" t="str">
        <x:v>DM01_wall_hanging_rail_execution</x:v>
      </x:c>
      <x:c r="G123" s="28" t="str">
        <x:v>review_candidate</x:v>
      </x:c>
      <x:c r="H123" s="28" t="str">
        <x:v>batch_6_display</x:v>
      </x:c>
      <x:c r="I123" s="28" t="str">
        <x:v>PRJ-ADR-018; PRJ-D005-GOLD-V03</x:v>
      </x:c>
      <x:c r="J123" s="28" t="str">
        <x:v>DM-GOLD-001; DM-V03; DM-V13</x:v>
      </x:c>
      <x:c r="K123" s="28" t="str">
        <x:v>G-TASK-004</x:v>
      </x:c>
      <x:c r="L123" s="28" t="str">
        <x:v>diyu_global_asset_v0.2</x:v>
      </x:c>
      <x:c r="M123" s="28" t="str">
        <x:v>create_review_candidate</x:v>
      </x:c>
    </x:row>
    <x:row r="124">
      <x:c r="A124" s="28" t="str">
        <x:v>G-DENSITY-002</x:v>
      </x:c>
      <x:c r="B124" s="28" t="str">
        <x:v>G</x:v>
      </x:c>
      <x:c r="C124" s="28" t="str">
        <x:v>domain_knowledge</x:v>
      </x:c>
      <x:c r="D124" s="28" t="str">
        <x:v>间距应由商品体积、袖量、正挂占位与抽取动作共同决定</x:v>
      </x:c>
      <x:c r="E124" s="28" t="str">
        <x:v>conditional_rule</x:v>
      </x:c>
      <x:c r="F124" s="28" t="str">
        <x:v>DM01_wall_hanging_rail_execution</x:v>
      </x:c>
      <x:c r="G124" s="28" t="str">
        <x:v>review_candidate</x:v>
      </x:c>
      <x:c r="H124" s="28" t="str">
        <x:v>batch_6_display</x:v>
      </x:c>
      <x:c r="I124" s="28" t="str">
        <x:v>PRJ-D005-GOLD-V03; EXP-G-DISPLAY-001</x:v>
      </x:c>
      <x:c r="J124" s="28" t="str">
        <x:v>DM-V16</x:v>
      </x:c>
      <x:c r="K124" s="28" t="str">
        <x:v>G-FIXTURE-004</x:v>
      </x:c>
      <x:c r="L124" s="28" t="str">
        <x:v>diyu_global_asset_v0.2</x:v>
      </x:c>
      <x:c r="M124" s="28" t="str">
        <x:v>create_review_candidate</x:v>
      </x:c>
    </x:row>
    <x:row r="125">
      <x:c r="A125" s="28" t="str">
        <x:v>G-DENSITY-003</x:v>
      </x:c>
      <x:c r="B125" s="28" t="str">
        <x:v>G</x:v>
      </x:c>
      <x:c r="C125" s="28" t="str">
        <x:v>domain_knowledge</x:v>
      </x:c>
      <x:c r="D125" s="28" t="str">
        <x:v>拿取便利与商品不受挤压是首期执行方案的必要条件</x:v>
      </x:c>
      <x:c r="E125" s="28" t="str">
        <x:v>conditional_rule</x:v>
      </x:c>
      <x:c r="F125" s="28" t="str">
        <x:v>DM01_wall_hanging_rail_execution</x:v>
      </x:c>
      <x:c r="G125" s="28" t="str">
        <x:v>review_candidate</x:v>
      </x:c>
      <x:c r="H125" s="28" t="str">
        <x:v>batch_6_display</x:v>
      </x:c>
      <x:c r="I125" s="28" t="str">
        <x:v>PRJ-ADR-018; PRJ-D005-GOLD-V03; PRJ-ADR-006</x:v>
      </x:c>
      <x:c r="J125" s="28" t="str">
        <x:v>DM-GOLD-002; DM-V06</x:v>
      </x:c>
      <x:c r="K125" s="28" t="str"/>
      <x:c r="L125" s="28" t="str">
        <x:v>diyu_global_asset_v0.2</x:v>
      </x:c>
      <x:c r="M125" s="28" t="str">
        <x:v>create_review_candidate</x:v>
      </x:c>
    </x:row>
    <x:row r="126">
      <x:c r="A126" s="28" t="str">
        <x:v>G-DENSITY-004</x:v>
      </x:c>
      <x:c r="B126" s="28" t="str">
        <x:v>G</x:v>
      </x:c>
      <x:c r="C126" s="28" t="str">
        <x:v>domain_knowledge</x:v>
      </x:c>
      <x:c r="D126" s="28" t="str">
        <x:v>局部挤压优先减少相邻商品，不随意移动已确认的结构锚点</x:v>
      </x:c>
      <x:c r="E126" s="28" t="str">
        <x:v>conditional_rule</x:v>
      </x:c>
      <x:c r="F126" s="28" t="str">
        <x:v>DM01_wall_hanging_rail_execution</x:v>
      </x:c>
      <x:c r="G126" s="28" t="str">
        <x:v>review_candidate</x:v>
      </x:c>
      <x:c r="H126" s="28" t="str">
        <x:v>batch_6_display</x:v>
      </x:c>
      <x:c r="I126" s="28" t="str">
        <x:v>PRJ-D005-GOLD-V03; EXP-G-COMPILER-001</x:v>
      </x:c>
      <x:c r="J126" s="28" t="str">
        <x:v>DM-GOLD-002; DM-V06</x:v>
      </x:c>
      <x:c r="K126" s="28" t="str">
        <x:v>G-REV-003</x:v>
      </x:c>
      <x:c r="L126" s="28" t="str">
        <x:v>diyu_global_asset_v0.2</x:v>
      </x:c>
      <x:c r="M126" s="28" t="str">
        <x:v>create_review_candidate</x:v>
      </x:c>
    </x:row>
    <x:row r="127">
      <x:c r="A127" s="28" t="str">
        <x:v>G-FIXTURE-001</x:v>
      </x:c>
      <x:c r="B127" s="28" t="str">
        <x:v>G</x:v>
      </x:c>
      <x:c r="C127" s="28" t="str">
        <x:v>domain_knowledge</x:v>
      </x:c>
      <x:c r="D127" s="28" t="str">
        <x:v>上下杆、正挂点与侧挂容量承担不同结构职责</x:v>
      </x:c>
      <x:c r="E127" s="28" t="str">
        <x:v>deterministic_fact</x:v>
      </x:c>
      <x:c r="F127" s="28" t="str">
        <x:v>DM01_wall_hanging_rail_execution</x:v>
      </x:c>
      <x:c r="G127" s="28" t="str">
        <x:v>review_candidate</x:v>
      </x:c>
      <x:c r="H127" s="28" t="str">
        <x:v>batch_6_display</x:v>
      </x:c>
      <x:c r="I127" s="28" t="str">
        <x:v>PRJ-ADR-018; PRJ-D005-GOLD-V03; EXP-G-DISPLAY-001</x:v>
      </x:c>
      <x:c r="J127" s="28" t="str">
        <x:v>DM-GOLD-001</x:v>
      </x:c>
      <x:c r="K127" s="28" t="str"/>
      <x:c r="L127" s="28" t="str">
        <x:v>diyu_global_asset_v0.2</x:v>
      </x:c>
      <x:c r="M127" s="28" t="str">
        <x:v>create_review_candidate</x:v>
      </x:c>
    </x:row>
    <x:row r="128">
      <x:c r="A128" s="28" t="str">
        <x:v>G-FIXTURE-002</x:v>
      </x:c>
      <x:c r="B128" s="28" t="str">
        <x:v>G</x:v>
      </x:c>
      <x:c r="C128" s="28" t="str">
        <x:v>domain_knowledge</x:v>
      </x:c>
      <x:c r="D128" s="28" t="str">
        <x:v>主要来客方向会改变第一视觉入口与左右阅读顺序</x:v>
      </x:c>
      <x:c r="E128" s="28" t="str">
        <x:v>conditional_rule</x:v>
      </x:c>
      <x:c r="F128" s="28" t="str">
        <x:v>DM01_wall_hanging_rail_execution</x:v>
      </x:c>
      <x:c r="G128" s="28" t="str">
        <x:v>review_candidate</x:v>
      </x:c>
      <x:c r="H128" s="28" t="str">
        <x:v>batch_6_display</x:v>
      </x:c>
      <x:c r="I128" s="28" t="str">
        <x:v>PRJ-ADR-018; PRJ-D005-GOLD-V03; EXP-G-DISPLAY-001</x:v>
      </x:c>
      <x:c r="J128" s="28" t="str">
        <x:v>DM-GOLD-001; DM-V05</x:v>
      </x:c>
      <x:c r="K128" s="28" t="str"/>
      <x:c r="L128" s="28" t="str">
        <x:v>diyu_global_asset_v0.2</x:v>
      </x:c>
      <x:c r="M128" s="28" t="str">
        <x:v>create_review_candidate</x:v>
      </x:c>
    </x:row>
    <x:row r="129">
      <x:c r="A129" s="28" t="str">
        <x:v>G-FIXTURE-003</x:v>
      </x:c>
      <x:c r="B129" s="28" t="str">
        <x:v>G</x:v>
      </x:c>
      <x:c r="C129" s="28" t="str">
        <x:v>domain_knowledge</x:v>
      </x:c>
      <x:c r="D129" s="28" t="str">
        <x:v>主要视线带是门店设施档案属性，不是全行业固定高度</x:v>
      </x:c>
      <x:c r="E129" s="28" t="str">
        <x:v>conditional_rule</x:v>
      </x:c>
      <x:c r="F129" s="28" t="str">
        <x:v>DM01_wall_hanging_rail_execution</x:v>
      </x:c>
      <x:c r="G129" s="28" t="str">
        <x:v>review_candidate</x:v>
      </x:c>
      <x:c r="H129" s="28" t="str">
        <x:v>batch_6_display</x:v>
      </x:c>
      <x:c r="I129" s="28" t="str">
        <x:v>PRJ-ADR-018; PRJ-D005-GOLD-V03; EXP-G-DISPLAY-001</x:v>
      </x:c>
      <x:c r="J129" s="28" t="str"/>
      <x:c r="K129" s="28" t="str"/>
      <x:c r="L129" s="28" t="str">
        <x:v>diyu_global_asset_v0.2</x:v>
      </x:c>
      <x:c r="M129" s="28" t="str">
        <x:v>create_review_candidate</x:v>
      </x:c>
    </x:row>
    <x:row r="130">
      <x:c r="A130" s="28" t="str">
        <x:v>G-FIXTURE-004</x:v>
      </x:c>
      <x:c r="B130" s="28" t="str">
        <x:v>G</x:v>
      </x:c>
      <x:c r="C130" s="28" t="str">
        <x:v>domain_knowledge</x:v>
      </x:c>
      <x:c r="D130" s="28" t="str">
        <x:v>挂杆容量必须与商品厚度、袖量和抽取便利共同理解</x:v>
      </x:c>
      <x:c r="E130" s="28" t="str">
        <x:v>conditional_rule</x:v>
      </x:c>
      <x:c r="F130" s="28" t="str">
        <x:v>DM01_wall_hanging_rail_execution</x:v>
      </x:c>
      <x:c r="G130" s="28" t="str">
        <x:v>review_candidate</x:v>
      </x:c>
      <x:c r="H130" s="28" t="str">
        <x:v>batch_6_display</x:v>
      </x:c>
      <x:c r="I130" s="28" t="str">
        <x:v>PRJ-ADR-018; PRJ-D005-GOLD-V03; EXP-G-DISPLAY-001</x:v>
      </x:c>
      <x:c r="J130" s="28" t="str">
        <x:v>DM-V16</x:v>
      </x:c>
      <x:c r="K130" s="28" t="str"/>
      <x:c r="L130" s="28" t="str">
        <x:v>diyu_global_asset_v0.2</x:v>
      </x:c>
      <x:c r="M130" s="28" t="str">
        <x:v>create_review_candidate</x:v>
      </x:c>
    </x:row>
    <x:row r="131">
      <x:c r="A131" s="28" t="str">
        <x:v>G-FOCUS-001</x:v>
      </x:c>
      <x:c r="B131" s="28" t="str">
        <x:v>G</x:v>
      </x:c>
      <x:c r="C131" s="28" t="str">
        <x:v>domain_knowledge</x:v>
      </x:c>
      <x:c r="D131" s="28" t="str">
        <x:v>一面小型墙面应区分主焦点与次级回应</x:v>
      </x:c>
      <x:c r="E131" s="28" t="str">
        <x:v>conditional_rule</x:v>
      </x:c>
      <x:c r="F131" s="28" t="str">
        <x:v>DM01_wall_hanging_rail_execution</x:v>
      </x:c>
      <x:c r="G131" s="28" t="str">
        <x:v>review_candidate</x:v>
      </x:c>
      <x:c r="H131" s="28" t="str">
        <x:v>batch_6_display</x:v>
      </x:c>
      <x:c r="I131" s="28" t="str">
        <x:v>PRJ-ADR-018; PRJ-D005-GOLD-V03; EXP-G-DISPLAY-001</x:v>
      </x:c>
      <x:c r="J131" s="28" t="str">
        <x:v>DM-GOLD-001; DM-NEAR-001</x:v>
      </x:c>
      <x:c r="K131" s="28" t="str">
        <x:v>B-CREATIVE-002</x:v>
      </x:c>
      <x:c r="L131" s="28" t="str">
        <x:v>diyu_global_asset_v0.2</x:v>
      </x:c>
      <x:c r="M131" s="28" t="str">
        <x:v>create_review_candidate</x:v>
      </x:c>
    </x:row>
    <x:row r="132">
      <x:c r="A132" s="28" t="str">
        <x:v>G-FOCUS-002</x:v>
      </x:c>
      <x:c r="B132" s="28" t="str">
        <x:v>G</x:v>
      </x:c>
      <x:c r="C132" s="28" t="str">
        <x:v>domain_knowledge</x:v>
      </x:c>
      <x:c r="D132" s="28" t="str">
        <x:v>低饱和商品也可通过明暗、纹理、位置与留白形成焦点</x:v>
      </x:c>
      <x:c r="E132" s="28" t="str">
        <x:v>conditional_rule</x:v>
      </x:c>
      <x:c r="F132" s="28" t="str">
        <x:v>DM01_wall_hanging_rail_execution</x:v>
      </x:c>
      <x:c r="G132" s="28" t="str">
        <x:v>review_candidate</x:v>
      </x:c>
      <x:c r="H132" s="28" t="str">
        <x:v>batch_6_display</x:v>
      </x:c>
      <x:c r="I132" s="28" t="str">
        <x:v>PRJ-D005-GOLD-V03</x:v>
      </x:c>
      <x:c r="J132" s="28" t="str">
        <x:v>DM-GOLD-001</x:v>
      </x:c>
      <x:c r="K132" s="28" t="str">
        <x:v>B-COLOR-002; B-COLOR-003; B-CREATIVE-001</x:v>
      </x:c>
      <x:c r="L132" s="28" t="str">
        <x:v>diyu_global_asset_v0.2</x:v>
      </x:c>
      <x:c r="M132" s="28" t="str">
        <x:v>create_review_candidate</x:v>
      </x:c>
    </x:row>
    <x:row r="133">
      <x:c r="A133" s="28" t="str">
        <x:v>G-FOCUS-003</x:v>
      </x:c>
      <x:c r="B133" s="28" t="str">
        <x:v>G</x:v>
      </x:c>
      <x:c r="C133" s="28" t="str">
        <x:v>domain_knowledge</x:v>
      </x:c>
      <x:c r="D133" s="28" t="str">
        <x:v>第一视觉入口应由位置与商品可见特征共同成立</x:v>
      </x:c>
      <x:c r="E133" s="28" t="str">
        <x:v>conditional_rule</x:v>
      </x:c>
      <x:c r="F133" s="28" t="str">
        <x:v>DM01_wall_hanging_rail_execution</x:v>
      </x:c>
      <x:c r="G133" s="28" t="str">
        <x:v>review_candidate</x:v>
      </x:c>
      <x:c r="H133" s="28" t="str">
        <x:v>batch_6_display</x:v>
      </x:c>
      <x:c r="I133" s="28" t="str">
        <x:v>PRJ-ADR-018; PRJ-D005-GOLD-V03; EXP-G-DISPLAY-001</x:v>
      </x:c>
      <x:c r="J133" s="28" t="str"/>
      <x:c r="K133" s="28" t="str">
        <x:v>B-VIS-005</x:v>
      </x:c>
      <x:c r="L133" s="28" t="str">
        <x:v>diyu_global_asset_v0.2</x:v>
      </x:c>
      <x:c r="M133" s="28" t="str">
        <x:v>create_review_candidate</x:v>
      </x:c>
    </x:row>
    <x:row r="134">
      <x:c r="A134" s="28" t="str">
        <x:v>G-FOCUS-004</x:v>
      </x:c>
      <x:c r="B134" s="28" t="str">
        <x:v>G</x:v>
      </x:c>
      <x:c r="C134" s="28" t="str">
        <x:v>domain_knowledge</x:v>
      </x:c>
      <x:c r="D134" s="28" t="str">
        <x:v>多个同强度重点会把墙面变成并列商品合集</x:v>
      </x:c>
      <x:c r="E134" s="28" t="str">
        <x:v>conditional_rule</x:v>
      </x:c>
      <x:c r="F134" s="28" t="str">
        <x:v>DM01_wall_hanging_rail_execution</x:v>
      </x:c>
      <x:c r="G134" s="28" t="str">
        <x:v>review_candidate</x:v>
      </x:c>
      <x:c r="H134" s="28" t="str">
        <x:v>batch_6_display</x:v>
      </x:c>
      <x:c r="I134" s="28" t="str">
        <x:v>PRJ-D005-GOLD-V03; EXP-G-DISPLAY-001</x:v>
      </x:c>
      <x:c r="J134" s="28" t="str"/>
      <x:c r="K134" s="28" t="str">
        <x:v>B-CREATIVE-002</x:v>
      </x:c>
      <x:c r="L134" s="28" t="str">
        <x:v>diyu_global_asset_v0.2</x:v>
      </x:c>
      <x:c r="M134" s="28" t="str">
        <x:v>create_review_candidate</x:v>
      </x:c>
    </x:row>
    <x:row r="135">
      <x:c r="A135" s="28" t="str">
        <x:v>G-GROUP-001</x:v>
      </x:c>
      <x:c r="B135" s="28" t="str">
        <x:v>G</x:v>
      </x:c>
      <x:c r="C135" s="28" t="str">
        <x:v>domain_knowledge</x:v>
      </x:c>
      <x:c r="D135" s="28" t="str">
        <x:v>视觉陈列分组应优先形成可读的搭配区，而不是纯品类库存区</x:v>
      </x:c>
      <x:c r="E135" s="28" t="str">
        <x:v>conditional_rule</x:v>
      </x:c>
      <x:c r="F135" s="28" t="str">
        <x:v>DM01_wall_hanging_rail_execution</x:v>
      </x:c>
      <x:c r="G135" s="28" t="str">
        <x:v>review_candidate</x:v>
      </x:c>
      <x:c r="H135" s="28" t="str">
        <x:v>batch_6_display</x:v>
      </x:c>
      <x:c r="I135" s="28" t="str">
        <x:v>PRJ-ADR-018; PRJ-D005-GOLD-V03; EXP-G-DISPLAY-001</x:v>
      </x:c>
      <x:c r="J135" s="28" t="str">
        <x:v>DM-GOLD-001; DM-NEAR-001</x:v>
      </x:c>
      <x:c r="K135" s="28" t="str">
        <x:v>B-LAYER-001</x:v>
      </x:c>
      <x:c r="L135" s="28" t="str">
        <x:v>diyu_global_asset_v0.2</x:v>
      </x:c>
      <x:c r="M135" s="28" t="str">
        <x:v>create_review_candidate</x:v>
      </x:c>
    </x:row>
    <x:row r="136">
      <x:c r="A136" s="28" t="str">
        <x:v>G-GROUP-002</x:v>
      </x:c>
      <x:c r="B136" s="28" t="str">
        <x:v>G</x:v>
      </x:c>
      <x:c r="C136" s="28" t="str">
        <x:v>domain_knowledge</x:v>
      </x:c>
      <x:c r="D136" s="28" t="str">
        <x:v>上下层垂直对应可以强化一组穿着关系</x:v>
      </x:c>
      <x:c r="E136" s="28" t="str">
        <x:v>conditional_rule</x:v>
      </x:c>
      <x:c r="F136" s="28" t="str">
        <x:v>DM01_wall_hanging_rail_execution</x:v>
      </x:c>
      <x:c r="G136" s="28" t="str">
        <x:v>review_candidate</x:v>
      </x:c>
      <x:c r="H136" s="28" t="str">
        <x:v>batch_6_display</x:v>
      </x:c>
      <x:c r="I136" s="28" t="str">
        <x:v>PRJ-ADR-018; PRJ-D005-GOLD-V03; EXP-G-DISPLAY-001</x:v>
      </x:c>
      <x:c r="J136" s="28" t="str">
        <x:v>DM-GOLD-001</x:v>
      </x:c>
      <x:c r="K136" s="28" t="str"/>
      <x:c r="L136" s="28" t="str">
        <x:v>diyu_global_asset_v0.2</x:v>
      </x:c>
      <x:c r="M136" s="28" t="str">
        <x:v>create_review_candidate</x:v>
      </x:c>
    </x:row>
    <x:row r="137">
      <x:c r="A137" s="28" t="str">
        <x:v>G-GROUP-003</x:v>
      </x:c>
      <x:c r="B137" s="28" t="str">
        <x:v>G</x:v>
      </x:c>
      <x:c r="C137" s="28" t="str">
        <x:v>domain_knowledge</x:v>
      </x:c>
      <x:c r="D137" s="28" t="str">
        <x:v>主商品、回应商品与基础商品承担不同视觉角色</x:v>
      </x:c>
      <x:c r="E137" s="28" t="str">
        <x:v>conditional_rule</x:v>
      </x:c>
      <x:c r="F137" s="28" t="str">
        <x:v>DM01_wall_hanging_rail_execution</x:v>
      </x:c>
      <x:c r="G137" s="28" t="str">
        <x:v>review_candidate</x:v>
      </x:c>
      <x:c r="H137" s="28" t="str">
        <x:v>batch_6_display</x:v>
      </x:c>
      <x:c r="I137" s="28" t="str">
        <x:v>PRJ-ADR-018; PRJ-D005-GOLD-V03; EXP-G-DISPLAY-001</x:v>
      </x:c>
      <x:c r="J137" s="28" t="str"/>
      <x:c r="K137" s="28" t="str">
        <x:v>B-CREATIVE-002</x:v>
      </x:c>
      <x:c r="L137" s="28" t="str">
        <x:v>diyu_global_asset_v0.2</x:v>
      </x:c>
      <x:c r="M137" s="28" t="str">
        <x:v>create_review_candidate</x:v>
      </x:c>
    </x:row>
    <x:row r="138">
      <x:c r="A138" s="28" t="str">
        <x:v>G-GROUP-004</x:v>
      </x:c>
      <x:c r="B138" s="28" t="str">
        <x:v>G</x:v>
      </x:c>
      <x:c r="C138" s="28" t="str">
        <x:v>domain_knowledge</x:v>
      </x:c>
      <x:c r="D138" s="28" t="str">
        <x:v>同一商品重复出现必须由可见关系和实际数量共同支持</x:v>
      </x:c>
      <x:c r="E138" s="28" t="str">
        <x:v>conditional_rule</x:v>
      </x:c>
      <x:c r="F138" s="28" t="str">
        <x:v>DM01_wall_hanging_rail_execution</x:v>
      </x:c>
      <x:c r="G138" s="28" t="str">
        <x:v>review_candidate</x:v>
      </x:c>
      <x:c r="H138" s="28" t="str">
        <x:v>batch_6_display</x:v>
      </x:c>
      <x:c r="I138" s="28" t="str">
        <x:v>PRJ-ADR-007; PRJ-ADR-018; PRJ-D005-GOLD-V03</x:v>
      </x:c>
      <x:c r="J138" s="28" t="str">
        <x:v>DM-V14</x:v>
      </x:c>
      <x:c r="K138" s="28" t="str"/>
      <x:c r="L138" s="28" t="str">
        <x:v>diyu_global_asset_v0.2</x:v>
      </x:c>
      <x:c r="M138" s="28" t="str">
        <x:v>create_review_candidate</x:v>
      </x:c>
    </x:row>
    <x:row r="139">
      <x:c r="A139" s="28" t="str">
        <x:v>G-HANG-001</x:v>
      </x:c>
      <x:c r="B139" s="28" t="str">
        <x:v>G</x:v>
      </x:c>
      <x:c r="C139" s="28" t="str">
        <x:v>domain_knowledge</x:v>
      </x:c>
      <x:c r="D139" s="28" t="str">
        <x:v>正挂用于展示可见重点，侧挂用于形成序列与便于抽取</x:v>
      </x:c>
      <x:c r="E139" s="28" t="str">
        <x:v>conditional_rule</x:v>
      </x:c>
      <x:c r="F139" s="28" t="str">
        <x:v>DM01_wall_hanging_rail_execution</x:v>
      </x:c>
      <x:c r="G139" s="28" t="str">
        <x:v>review_candidate</x:v>
      </x:c>
      <x:c r="H139" s="28" t="str">
        <x:v>batch_6_display</x:v>
      </x:c>
      <x:c r="I139" s="28" t="str">
        <x:v>PRJ-ADR-018; PRJ-D005-GOLD-V03; EXP-G-DISPLAY-001</x:v>
      </x:c>
      <x:c r="J139" s="28" t="str">
        <x:v>DM-GOLD-001</x:v>
      </x:c>
      <x:c r="K139" s="28" t="str"/>
      <x:c r="L139" s="28" t="str">
        <x:v>diyu_global_asset_v0.2</x:v>
      </x:c>
      <x:c r="M139" s="28" t="str">
        <x:v>create_review_candidate</x:v>
      </x:c>
    </x:row>
    <x:row r="140">
      <x:c r="A140" s="28" t="str">
        <x:v>G-HANG-002</x:v>
      </x:c>
      <x:c r="B140" s="28" t="str">
        <x:v>G</x:v>
      </x:c>
      <x:c r="C140" s="28" t="str">
        <x:v>domain_knowledge</x:v>
      </x:c>
      <x:c r="D140" s="28" t="str">
        <x:v>重复、分组与停顿共同形成侧挂节奏</x:v>
      </x:c>
      <x:c r="E140" s="28" t="str">
        <x:v>conditional_rule</x:v>
      </x:c>
      <x:c r="F140" s="28" t="str">
        <x:v>DM01_wall_hanging_rail_execution</x:v>
      </x:c>
      <x:c r="G140" s="28" t="str">
        <x:v>review_candidate</x:v>
      </x:c>
      <x:c r="H140" s="28" t="str">
        <x:v>batch_6_display</x:v>
      </x:c>
      <x:c r="I140" s="28" t="str">
        <x:v>PRJ-ADR-018; PRJ-D005-GOLD-V03; EXP-G-DISPLAY-001</x:v>
      </x:c>
      <x:c r="J140" s="28" t="str"/>
      <x:c r="K140" s="28" t="str"/>
      <x:c r="L140" s="28" t="str">
        <x:v>diyu_global_asset_v0.2</x:v>
      </x:c>
      <x:c r="M140" s="28" t="str">
        <x:v>create_review_candidate</x:v>
      </x:c>
    </x:row>
    <x:row r="141">
      <x:c r="A141" s="28" t="str">
        <x:v>G-HANG-003</x:v>
      </x:c>
      <x:c r="B141" s="28" t="str">
        <x:v>G</x:v>
      </x:c>
      <x:c r="C141" s="28" t="str">
        <x:v>domain_knowledge</x:v>
      </x:c>
      <x:c r="D141" s="28" t="str">
        <x:v>同组衣架方向一致有助于阅读与拿取</x:v>
      </x:c>
      <x:c r="E141" s="28" t="str">
        <x:v>conditional_rule</x:v>
      </x:c>
      <x:c r="F141" s="28" t="str">
        <x:v>DM01_wall_hanging_rail_execution</x:v>
      </x:c>
      <x:c r="G141" s="28" t="str">
        <x:v>review_candidate</x:v>
      </x:c>
      <x:c r="H141" s="28" t="str">
        <x:v>batch_6_display</x:v>
      </x:c>
      <x:c r="I141" s="28" t="str">
        <x:v>PRJ-D005-GOLD-V03; EXP-G-DISPLAY-001</x:v>
      </x:c>
      <x:c r="J141" s="28" t="str"/>
      <x:c r="K141" s="28" t="str"/>
      <x:c r="L141" s="28" t="str">
        <x:v>diyu_global_asset_v0.2</x:v>
      </x:c>
      <x:c r="M141" s="28" t="str">
        <x:v>create_review_candidate</x:v>
      </x:c>
    </x:row>
    <x:row r="142">
      <x:c r="A142" s="28" t="str">
        <x:v>G-HANG-004</x:v>
      </x:c>
      <x:c r="B142" s="28" t="str">
        <x:v>G</x:v>
      </x:c>
      <x:c r="C142" s="28" t="str">
        <x:v>domain_knowledge</x:v>
      </x:c>
      <x:c r="D142" s="28" t="str">
        <x:v>双面商品的两处展示必须证明同一商品的可见差异</x:v>
      </x:c>
      <x:c r="E142" s="28" t="str">
        <x:v>conditional_rule</x:v>
      </x:c>
      <x:c r="F142" s="28" t="str">
        <x:v>DM01_wall_hanging_rail_execution</x:v>
      </x:c>
      <x:c r="G142" s="28" t="str">
        <x:v>review_candidate</x:v>
      </x:c>
      <x:c r="H142" s="28" t="str">
        <x:v>batch_6_display</x:v>
      </x:c>
      <x:c r="I142" s="28" t="str">
        <x:v>PRJ-D005-GOLD-V03; PRJ-ADR-007; EXP-G-DISPLAY-001</x:v>
      </x:c>
      <x:c r="J142" s="28" t="str">
        <x:v>DM-V14</x:v>
      </x:c>
      <x:c r="K142" s="28" t="str"/>
      <x:c r="L142" s="28" t="str">
        <x:v>diyu_global_asset_v0.2</x:v>
      </x:c>
      <x:c r="M142" s="28" t="str">
        <x:v>create_review_candidate</x:v>
      </x:c>
    </x:row>
    <x:row r="143">
      <x:c r="A143" s="28" t="str">
        <x:v>G-REV-001</x:v>
      </x:c>
      <x:c r="B143" s="28" t="str">
        <x:v>G</x:v>
      </x:c>
      <x:c r="C143" s="28" t="str">
        <x:v>domain_knowledge</x:v>
      </x:c>
      <x:c r="D143" s="28" t="str">
        <x:v>执行顺序应先固定结构锚点，再完成分组与间距</x:v>
      </x:c>
      <x:c r="E143" s="28" t="str">
        <x:v>conditional_rule</x:v>
      </x:c>
      <x:c r="F143" s="28" t="str">
        <x:v>DM01_wall_hanging_rail_execution</x:v>
      </x:c>
      <x:c r="G143" s="28" t="str">
        <x:v>review_candidate</x:v>
      </x:c>
      <x:c r="H143" s="28" t="str">
        <x:v>batch_6_display</x:v>
      </x:c>
      <x:c r="I143" s="28" t="str">
        <x:v>PRJ-D005-GOLD-V03; EXP-G-COMPILER-001</x:v>
      </x:c>
      <x:c r="J143" s="28" t="str"/>
      <x:c r="K143" s="28" t="str"/>
      <x:c r="L143" s="28" t="str">
        <x:v>diyu_global_asset_v0.2</x:v>
      </x:c>
      <x:c r="M143" s="28" t="str">
        <x:v>create_review_candidate</x:v>
      </x:c>
    </x:row>
    <x:row r="144">
      <x:c r="A144" s="28" t="str">
        <x:v>G-REV-002</x:v>
      </x:c>
      <x:c r="B144" s="28" t="str">
        <x:v>G</x:v>
      </x:c>
      <x:c r="C144" s="28" t="str">
        <x:v>domain_knowledge</x:v>
      </x:c>
      <x:c r="D144" s="28" t="str">
        <x:v>门店自然反馈是新的任务条件，不是系统巡检结论</x:v>
      </x:c>
      <x:c r="E144" s="28" t="str">
        <x:v>deterministic_fact</x:v>
      </x:c>
      <x:c r="F144" s="28" t="str">
        <x:v>DM01_wall_hanging_rail_execution</x:v>
      </x:c>
      <x:c r="G144" s="28" t="str">
        <x:v>review_candidate</x:v>
      </x:c>
      <x:c r="H144" s="28" t="str">
        <x:v>batch_6_display</x:v>
      </x:c>
      <x:c r="I144" s="28" t="str">
        <x:v>PRJ-ADR-006; PRJ-ADR-010; PRJ-ADR-018; PRJ-D005-GOLD-V03</x:v>
      </x:c>
      <x:c r="J144" s="28" t="str">
        <x:v>DM-GOLD-002</x:v>
      </x:c>
      <x:c r="K144" s="28" t="str"/>
      <x:c r="L144" s="28" t="str">
        <x:v>diyu_global_asset_v0.2</x:v>
      </x:c>
      <x:c r="M144" s="28" t="str">
        <x:v>create_review_candidate</x:v>
      </x:c>
    </x:row>
    <x:row r="145">
      <x:c r="A145" s="28" t="str">
        <x:v>G-REV-003</x:v>
      </x:c>
      <x:c r="B145" s="28" t="str">
        <x:v>G</x:v>
      </x:c>
      <x:c r="C145" s="28" t="str">
        <x:v>domain_knowledge</x:v>
      </x:c>
      <x:c r="D145" s="28" t="str">
        <x:v>修订只改变受新条件影响的部分，未受影响内容继承</x:v>
      </x:c>
      <x:c r="E145" s="28" t="str">
        <x:v>conditional_rule</x:v>
      </x:c>
      <x:c r="F145" s="28" t="str">
        <x:v>DM01_wall_hanging_rail_execution</x:v>
      </x:c>
      <x:c r="G145" s="28" t="str">
        <x:v>review_candidate</x:v>
      </x:c>
      <x:c r="H145" s="28" t="str">
        <x:v>batch_6_display</x:v>
      </x:c>
      <x:c r="I145" s="28" t="str">
        <x:v>PRJ-ADR-018; PRJ-D005-GOLD-V03; PRJ-ADR-010</x:v>
      </x:c>
      <x:c r="J145" s="28" t="str">
        <x:v>DM-GOLD-002; DM-V22</x:v>
      </x:c>
      <x:c r="K145" s="28" t="str"/>
      <x:c r="L145" s="28" t="str">
        <x:v>diyu_global_asset_v0.2</x:v>
      </x:c>
      <x:c r="M145" s="28" t="str">
        <x:v>create_review_candidate</x:v>
      </x:c>
    </x:row>
    <x:row r="146">
      <x:c r="A146" s="28" t="str">
        <x:v>G-REV-004</x:v>
      </x:c>
      <x:c r="B146" s="28" t="str">
        <x:v>G</x:v>
      </x:c>
      <x:c r="C146" s="28" t="str">
        <x:v>domain_knowledge</x:v>
      </x:c>
      <x:c r="D146" s="28" t="str">
        <x:v>关键商品、目标、动线或载体改变时触发整体或结构性重算</x:v>
      </x:c>
      <x:c r="E146" s="28" t="str">
        <x:v>conditional_rule</x:v>
      </x:c>
      <x:c r="F146" s="28" t="str">
        <x:v>DM01_wall_hanging_rail_execution</x:v>
      </x:c>
      <x:c r="G146" s="28" t="str">
        <x:v>review_candidate</x:v>
      </x:c>
      <x:c r="H146" s="28" t="str">
        <x:v>batch_6_display</x:v>
      </x:c>
      <x:c r="I146" s="28" t="str">
        <x:v>PRJ-ADR-018; PRJ-D005-GOLD-V03; EXP-G-COMPILER-001</x:v>
      </x:c>
      <x:c r="J146" s="28" t="str"/>
      <x:c r="K146" s="28" t="str"/>
      <x:c r="L146" s="28" t="str">
        <x:v>diyu_global_asset_v0.2</x:v>
      </x:c>
      <x:c r="M146" s="28" t="str">
        <x:v>create_review_candidate</x:v>
      </x:c>
    </x:row>
    <x:row r="147">
      <x:c r="A147" s="28" t="str">
        <x:v>G-SUB-001</x:v>
      </x:c>
      <x:c r="B147" s="28" t="str">
        <x:v>G</x:v>
      </x:c>
      <x:c r="C147" s="28" t="str">
        <x:v>domain_knowledge</x:v>
      </x:c>
      <x:c r="D147" s="28" t="str">
        <x:v>已上墙商品缺失时优先使用清单中的同款后备</x:v>
      </x:c>
      <x:c r="E147" s="28" t="str">
        <x:v>conditional_rule</x:v>
      </x:c>
      <x:c r="F147" s="28" t="str">
        <x:v>DM01_wall_hanging_rail_execution</x:v>
      </x:c>
      <x:c r="G147" s="28" t="str">
        <x:v>review_candidate</x:v>
      </x:c>
      <x:c r="H147" s="28" t="str">
        <x:v>batch_6_display</x:v>
      </x:c>
      <x:c r="I147" s="28" t="str">
        <x:v>PRJ-ADR-007; PRJ-D005-GOLD-V03</x:v>
      </x:c>
      <x:c r="J147" s="28" t="str">
        <x:v>DM-GOLD-001; DM-V15</x:v>
      </x:c>
      <x:c r="K147" s="28" t="str"/>
      <x:c r="L147" s="28" t="str">
        <x:v>diyu_global_asset_v0.2</x:v>
      </x:c>
      <x:c r="M147" s="28" t="str">
        <x:v>create_review_candidate</x:v>
      </x:c>
    </x:row>
    <x:row r="148">
      <x:c r="A148" s="28" t="str">
        <x:v>G-SUB-002</x:v>
      </x:c>
      <x:c r="B148" s="28" t="str">
        <x:v>G</x:v>
      </x:c>
      <x:c r="C148" s="28" t="str">
        <x:v>domain_knowledge</x:v>
      </x:c>
      <x:c r="D148" s="28" t="str">
        <x:v>同款耗尽后，替代应先保持搭配区职责而不是只追求颜色相似</x:v>
      </x:c>
      <x:c r="E148" s="28" t="str">
        <x:v>conditional_rule</x:v>
      </x:c>
      <x:c r="F148" s="28" t="str">
        <x:v>DM01_wall_hanging_rail_execution</x:v>
      </x:c>
      <x:c r="G148" s="28" t="str">
        <x:v>review_candidate</x:v>
      </x:c>
      <x:c r="H148" s="28" t="str">
        <x:v>batch_6_display</x:v>
      </x:c>
      <x:c r="I148" s="28" t="str">
        <x:v>PRJ-D005-GOLD-V03; EXP-G-DISPLAY-001</x:v>
      </x:c>
      <x:c r="J148" s="28" t="str"/>
      <x:c r="K148" s="28" t="str">
        <x:v>B-COLOR-002; B-SIL-003</x:v>
      </x:c>
      <x:c r="L148" s="28" t="str">
        <x:v>diyu_global_asset_v0.2</x:v>
      </x:c>
      <x:c r="M148" s="28" t="str">
        <x:v>create_review_candidate</x:v>
      </x:c>
    </x:row>
    <x:row r="149">
      <x:c r="A149" s="28" t="str">
        <x:v>G-SUB-003</x:v>
      </x:c>
      <x:c r="B149" s="28" t="str">
        <x:v>G</x:v>
      </x:c>
      <x:c r="C149" s="28" t="str">
        <x:v>domain_knowledge</x:v>
      </x:c>
      <x:c r="D149" s="28" t="str">
        <x:v>没有合适替代时可以少挂并重新拉开，不用无关商品补满</x:v>
      </x:c>
      <x:c r="E149" s="28" t="str">
        <x:v>conditional_rule</x:v>
      </x:c>
      <x:c r="F149" s="28" t="str">
        <x:v>DM01_wall_hanging_rail_execution</x:v>
      </x:c>
      <x:c r="G149" s="28" t="str">
        <x:v>review_candidate</x:v>
      </x:c>
      <x:c r="H149" s="28" t="str">
        <x:v>batch_6_display</x:v>
      </x:c>
      <x:c r="I149" s="28" t="str">
        <x:v>PRJ-D005-GOLD-V03; EXP-G-COMPILER-001</x:v>
      </x:c>
      <x:c r="J149" s="28" t="str"/>
      <x:c r="K149" s="28" t="str">
        <x:v>G-DENSITY-001</x:v>
      </x:c>
      <x:c r="L149" s="28" t="str">
        <x:v>diyu_global_asset_v0.2</x:v>
      </x:c>
      <x:c r="M149" s="28" t="str">
        <x:v>create_review_candidate</x:v>
      </x:c>
    </x:row>
    <x:row r="150">
      <x:c r="A150" s="28" t="str">
        <x:v>G-SUB-004</x:v>
      </x:c>
      <x:c r="B150" s="28" t="str">
        <x:v>G</x:v>
      </x:c>
      <x:c r="C150" s="28" t="str">
        <x:v>domain_knowledge</x:v>
      </x:c>
      <x:c r="D150" s="28" t="str">
        <x:v>关键主焦点或核心关系失效时应重新生成，不保留旧概念</x:v>
      </x:c>
      <x:c r="E150" s="28" t="str">
        <x:v>conditional_rule</x:v>
      </x:c>
      <x:c r="F150" s="28" t="str">
        <x:v>DM01_wall_hanging_rail_execution</x:v>
      </x:c>
      <x:c r="G150" s="28" t="str">
        <x:v>review_candidate</x:v>
      </x:c>
      <x:c r="H150" s="28" t="str">
        <x:v>batch_6_display</x:v>
      </x:c>
      <x:c r="I150" s="28" t="str">
        <x:v>PRJ-D005-GOLD-V03; EXP-G-COMPILER-001</x:v>
      </x:c>
      <x:c r="J150" s="28" t="str">
        <x:v>DM-V04; DM-V14</x:v>
      </x:c>
      <x:c r="K150" s="28" t="str">
        <x:v>G-REV-004</x:v>
      </x:c>
      <x:c r="L150" s="28" t="str">
        <x:v>diyu_global_asset_v0.2</x:v>
      </x:c>
      <x:c r="M150" s="28" t="str">
        <x:v>create_review_candidate</x:v>
      </x:c>
    </x:row>
    <x:row r="151">
      <x:c r="A151" s="28" t="str">
        <x:v>G-TASK-001</x:v>
      </x:c>
      <x:c r="B151" s="28" t="str">
        <x:v>G</x:v>
      </x:c>
      <x:c r="C151" s="28" t="str">
        <x:v>domain_knowledge</x:v>
      </x:c>
      <x:c r="D151" s="28" t="str">
        <x:v>陈列任务目的、区域与载体是三个正交维度</x:v>
      </x:c>
      <x:c r="E151" s="28" t="str">
        <x:v>deterministic_fact</x:v>
      </x:c>
      <x:c r="F151" s="28" t="str">
        <x:v>DM01_wall_hanging_rail_execution</x:v>
      </x:c>
      <x:c r="G151" s="28" t="str">
        <x:v>review_candidate</x:v>
      </x:c>
      <x:c r="H151" s="28" t="str">
        <x:v>batch_6_display</x:v>
      </x:c>
      <x:c r="I151" s="28" t="str">
        <x:v>PRJ-ADR-002; PRJ-ADR-018; PRJ-D005-GOLD-V03</x:v>
      </x:c>
      <x:c r="J151" s="28" t="str">
        <x:v>DM-V11; DM-V12</x:v>
      </x:c>
      <x:c r="K151" s="28" t="str"/>
      <x:c r="L151" s="28" t="str">
        <x:v>diyu_global_asset_v0.2</x:v>
      </x:c>
      <x:c r="M151" s="28" t="str">
        <x:v>create_review_candidate</x:v>
      </x:c>
    </x:row>
    <x:row r="152">
      <x:c r="A152" s="28" t="str">
        <x:v>G-TASK-002</x:v>
      </x:c>
      <x:c r="B152" s="28" t="str">
        <x:v>G</x:v>
      </x:c>
      <x:c r="C152" s="28" t="str">
        <x:v>domain_knowledge</x:v>
      </x:c>
      <x:c r="D152" s="28" t="str">
        <x:v>视觉陈列、销售连带与顾客穿搭不是同一成果</x:v>
      </x:c>
      <x:c r="E152" s="28" t="str">
        <x:v>deterministic_fact</x:v>
      </x:c>
      <x:c r="F152" s="28" t="str">
        <x:v>DM01_wall_hanging_rail_execution</x:v>
      </x:c>
      <x:c r="G152" s="28" t="str">
        <x:v>review_candidate</x:v>
      </x:c>
      <x:c r="H152" s="28" t="str">
        <x:v>batch_6_display</x:v>
      </x:c>
      <x:c r="I152" s="28" t="str">
        <x:v>PRJ-ADR-002; PRJ-ADR-018; PRJ-STRATEGY-V1</x:v>
      </x:c>
      <x:c r="J152" s="28" t="str"/>
      <x:c r="K152" s="28" t="str"/>
      <x:c r="L152" s="28" t="str">
        <x:v>diyu_global_asset_v0.2</x:v>
      </x:c>
      <x:c r="M152" s="28" t="str">
        <x:v>create_review_candidate</x:v>
      </x:c>
    </x:row>
    <x:row r="153">
      <x:c r="A153" s="28" t="str">
        <x:v>G-TASK-003</x:v>
      </x:c>
      <x:c r="B153" s="28" t="str">
        <x:v>G</x:v>
      </x:c>
      <x:c r="C153" s="28" t="str">
        <x:v>domain_knowledge</x:v>
      </x:c>
      <x:c r="D153" s="28" t="str">
        <x:v>执行建议、用户声明已执行与系统核验结果必须分开</x:v>
      </x:c>
      <x:c r="E153" s="28" t="str">
        <x:v>deterministic_fact</x:v>
      </x:c>
      <x:c r="F153" s="28" t="str">
        <x:v>DM01_wall_hanging_rail_execution</x:v>
      </x:c>
      <x:c r="G153" s="28" t="str">
        <x:v>review_candidate</x:v>
      </x:c>
      <x:c r="H153" s="28" t="str">
        <x:v>batch_6_display</x:v>
      </x:c>
      <x:c r="I153" s="28" t="str">
        <x:v>PRJ-ADR-002; PRJ-ADR-006; PRJ-ADR-010; PRJ-ADR-018</x:v>
      </x:c>
      <x:c r="J153" s="28" t="str">
        <x:v>DM-V10</x:v>
      </x:c>
      <x:c r="K153" s="28" t="str"/>
      <x:c r="L153" s="28" t="str">
        <x:v>diyu_global_asset_v0.2</x:v>
      </x:c>
      <x:c r="M153" s="28" t="str">
        <x:v>create_review_candidate</x:v>
      </x:c>
    </x:row>
    <x:row r="154">
      <x:c r="A154" s="28" t="str">
        <x:v>G-TASK-004</x:v>
      </x:c>
      <x:c r="B154" s="28" t="str">
        <x:v>G</x:v>
      </x:c>
      <x:c r="C154" s="28" t="str">
        <x:v>domain_knowledge</x:v>
      </x:c>
      <x:c r="D154" s="28" t="str">
        <x:v>库存清单是本次选择范围，不是把商品全部挂满的命令</x:v>
      </x:c>
      <x:c r="E154" s="28" t="str">
        <x:v>conditional_rule</x:v>
      </x:c>
      <x:c r="F154" s="28" t="str">
        <x:v>DM01_wall_hanging_rail_execution</x:v>
      </x:c>
      <x:c r="G154" s="28" t="str">
        <x:v>review_candidate</x:v>
      </x:c>
      <x:c r="H154" s="28" t="str">
        <x:v>batch_6_display</x:v>
      </x:c>
      <x:c r="I154" s="28" t="str">
        <x:v>PRJ-ADR-007; PRJ-ADR-018; PRJ-D005-GOLD-V03</x:v>
      </x:c>
      <x:c r="J154" s="28" t="str">
        <x:v>DM-GOLD-001; DM-NEAR-001; DM-V13</x:v>
      </x:c>
      <x:c r="K154" s="28" t="str"/>
      <x:c r="L154" s="28" t="str">
        <x:v>diyu_global_asset_v0.2</x:v>
      </x:c>
      <x:c r="M154" s="28" t="str">
        <x:v>create_review_candidate</x:v>
      </x:c>
    </x:row>
    <x:row r="155">
      <x:c r="A155" s="28" t="str">
        <x:v>GM-BOUNDARY-001</x:v>
      </x:c>
      <x:c r="B155" s="28" t="str">
        <x:v>G</x:v>
      </x:c>
      <x:c r="C155" s="28" t="str">
        <x:v>generation_method</x:v>
      </x:c>
      <x:c r="D155" s="28" t="str">
        <x:v>当前成果越界时给一次最短切换或能力边界提示</x:v>
      </x:c>
      <x:c r="E155" s="28" t="str">
        <x:v>display_merchandising</x:v>
      </x:c>
      <x:c r="F155" s="28" t="str">
        <x:v>DM01_wall_hanging_rail_execution</x:v>
      </x:c>
      <x:c r="G155" s="28" t="str">
        <x:v>review_candidate</x:v>
      </x:c>
      <x:c r="H155" s="28" t="str">
        <x:v>batch_6_display</x:v>
      </x:c>
      <x:c r="I155" s="28" t="str">
        <x:v>PRJ-ADR-002; PRJ-ADR-006; PRJ-ADR-014; PRJ-ADR-018</x:v>
      </x:c>
      <x:c r="J155" s="28" t="str">
        <x:v>DM-V08; DM-V09; DM-V11; DM-V12</x:v>
      </x:c>
      <x:c r="K155" s="28" t="str"/>
      <x:c r="L155" s="28" t="str">
        <x:v>diyu_global_asset_v0.2</x:v>
      </x:c>
      <x:c r="M155" s="28" t="str">
        <x:v>create_review_candidate</x:v>
      </x:c>
    </x:row>
    <x:row r="156">
      <x:c r="A156" s="28" t="str">
        <x:v>GM-DAILY-001</x:v>
      </x:c>
      <x:c r="B156" s="28" t="str">
        <x:v>G</x:v>
      </x:c>
      <x:c r="C156" s="28" t="str">
        <x:v>generation_method</x:v>
      </x:c>
      <x:c r="D156" s="28" t="str">
        <x:v>日常只用实际可用商品及数量形成任务</x:v>
      </x:c>
      <x:c r="E156" s="28" t="str">
        <x:v>display_merchandising</x:v>
      </x:c>
      <x:c r="F156" s="28" t="str">
        <x:v>DM01_wall_hanging_rail_execution</x:v>
      </x:c>
      <x:c r="G156" s="28" t="str">
        <x:v>review_candidate</x:v>
      </x:c>
      <x:c r="H156" s="28" t="str">
        <x:v>batch_6_display</x:v>
      </x:c>
      <x:c r="I156" s="28" t="str">
        <x:v>PRJ-ADR-007; PRJ-ADR-014; PRJ-ADR-018</x:v>
      </x:c>
      <x:c r="J156" s="28" t="str">
        <x:v>DM-GOLD-001; DM-V02</x:v>
      </x:c>
      <x:c r="K156" s="28" t="str"/>
      <x:c r="L156" s="28" t="str">
        <x:v>diyu_global_asset_v0.2</x:v>
      </x:c>
      <x:c r="M156" s="28" t="str">
        <x:v>create_review_candidate</x:v>
      </x:c>
    </x:row>
    <x:row r="157">
      <x:c r="A157" s="28" t="str">
        <x:v>GM-DENSITY-001</x:v>
      </x:c>
      <x:c r="B157" s="28" t="str">
        <x:v>G</x:v>
      </x:c>
      <x:c r="C157" s="28" t="str">
        <x:v>generation_method</x:v>
      </x:c>
      <x:c r="D157" s="28" t="str">
        <x:v>按数量、厚度和抽取性决定间距与正侧挂比例</x:v>
      </x:c>
      <x:c r="E157" s="28" t="str">
        <x:v>display_merchandising</x:v>
      </x:c>
      <x:c r="F157" s="28" t="str">
        <x:v>DM01_wall_hanging_rail_execution</x:v>
      </x:c>
      <x:c r="G157" s="28" t="str">
        <x:v>review_candidate</x:v>
      </x:c>
      <x:c r="H157" s="28" t="str">
        <x:v>batch_6_display</x:v>
      </x:c>
      <x:c r="I157" s="28" t="str">
        <x:v>PRJ-D005-GOLD-V03</x:v>
      </x:c>
      <x:c r="J157" s="28" t="str">
        <x:v>DM-GOLD-001; DM-V16</x:v>
      </x:c>
      <x:c r="K157" s="28" t="str">
        <x:v>G-FIXTURE-004; G-DENSITY-002; G-DENSITY-003</x:v>
      </x:c>
      <x:c r="L157" s="28" t="str">
        <x:v>diyu_global_asset_v0.2</x:v>
      </x:c>
      <x:c r="M157" s="28" t="str">
        <x:v>create_review_candidate</x:v>
      </x:c>
    </x:row>
    <x:row r="158">
      <x:c r="A158" s="28" t="str">
        <x:v>GM-EXEC-001</x:v>
      </x:c>
      <x:c r="B158" s="28" t="str">
        <x:v>G</x:v>
      </x:c>
      <x:c r="C158" s="28" t="str">
        <x:v>generation_method</x:v>
      </x:c>
      <x:c r="D158" s="28" t="str">
        <x:v>把方案编译为门店可照做的文字执行顺序</x:v>
      </x:c>
      <x:c r="E158" s="28" t="str">
        <x:v>display_merchandising</x:v>
      </x:c>
      <x:c r="F158" s="28" t="str">
        <x:v>DM01_wall_hanging_rail_execution</x:v>
      </x:c>
      <x:c r="G158" s="28" t="str">
        <x:v>review_candidate</x:v>
      </x:c>
      <x:c r="H158" s="28" t="str">
        <x:v>batch_6_display</x:v>
      </x:c>
      <x:c r="I158" s="28" t="str">
        <x:v>PRJ-ADR-014; PRJ-ADR-018; PRJ-D005-GOLD-V03; EXP-G-COMPILER-001</x:v>
      </x:c>
      <x:c r="J158" s="28" t="str">
        <x:v>DM-GOLD-001</x:v>
      </x:c>
      <x:c r="K158" s="28" t="str"/>
      <x:c r="L158" s="28" t="str">
        <x:v>diyu_global_asset_v0.2</x:v>
      </x:c>
      <x:c r="M158" s="28" t="str">
        <x:v>create_review_candidate</x:v>
      </x:c>
    </x:row>
    <x:row r="159">
      <x:c r="A159" s="28" t="str">
        <x:v>GM-FEEDBACK-001</x:v>
      </x:c>
      <x:c r="B159" s="28" t="str">
        <x:v>G</x:v>
      </x:c>
      <x:c r="C159" s="28" t="str">
        <x:v>generation_method</x:v>
      </x:c>
      <x:c r="D159" s="28" t="str">
        <x:v>从自然反馈识别变更条件与影响范围</x:v>
      </x:c>
      <x:c r="E159" s="28" t="str">
        <x:v>display_merchandising</x:v>
      </x:c>
      <x:c r="F159" s="28" t="str">
        <x:v>DM01_wall_hanging_rail_execution</x:v>
      </x:c>
      <x:c r="G159" s="28" t="str">
        <x:v>review_candidate</x:v>
      </x:c>
      <x:c r="H159" s="28" t="str">
        <x:v>batch_6_display</x:v>
      </x:c>
      <x:c r="I159" s="28" t="str">
        <x:v>PRJ-ADR-006; PRJ-ADR-010; PRJ-ADR-018</x:v>
      </x:c>
      <x:c r="J159" s="28" t="str">
        <x:v>DM-GOLD-002; DM-V06</x:v>
      </x:c>
      <x:c r="K159" s="28" t="str">
        <x:v>G-REV-002</x:v>
      </x:c>
      <x:c r="L159" s="28" t="str">
        <x:v>diyu_global_asset_v0.2</x:v>
      </x:c>
      <x:c r="M159" s="28" t="str">
        <x:v>create_review_candidate</x:v>
      </x:c>
    </x:row>
    <x:row r="160">
      <x:c r="A160" s="28" t="str">
        <x:v>GM-FOCUS-001</x:v>
      </x:c>
      <x:c r="B160" s="28" t="str">
        <x:v>G</x:v>
      </x:c>
      <x:c r="C160" s="28" t="str">
        <x:v>generation_method</x:v>
      </x:c>
      <x:c r="D160" s="28" t="str">
        <x:v>形成一个主焦点和必要的弱回应</x:v>
      </x:c>
      <x:c r="E160" s="28" t="str">
        <x:v>display_merchandising</x:v>
      </x:c>
      <x:c r="F160" s="28" t="str">
        <x:v>DM01_wall_hanging_rail_execution</x:v>
      </x:c>
      <x:c r="G160" s="28" t="str">
        <x:v>review_candidate</x:v>
      </x:c>
      <x:c r="H160" s="28" t="str">
        <x:v>batch_6_display</x:v>
      </x:c>
      <x:c r="I160" s="28" t="str">
        <x:v>PRJ-D005-GOLD-V03</x:v>
      </x:c>
      <x:c r="J160" s="28" t="str">
        <x:v>DM-GOLD-001; DM-V05</x:v>
      </x:c>
      <x:c r="K160" s="28" t="str">
        <x:v>G-FOCUS-001; G-FOCUS-002; B-CREATIVE-002</x:v>
      </x:c>
      <x:c r="L160" s="28" t="str">
        <x:v>diyu_global_asset_v0.2</x:v>
      </x:c>
      <x:c r="M160" s="28" t="str">
        <x:v>create_review_candidate</x:v>
      </x:c>
    </x:row>
    <x:row r="161">
      <x:c r="A161" s="28" t="str">
        <x:v>GM-GOAL-001</x:v>
      </x:c>
      <x:c r="B161" s="28" t="str">
        <x:v>G</x:v>
      </x:c>
      <x:c r="C161" s="28" t="str">
        <x:v>generation_method</x:v>
      </x:c>
      <x:c r="D161" s="28" t="str">
        <x:v>没有特殊目标时调用品牌当前陈列标准</x:v>
      </x:c>
      <x:c r="E161" s="28" t="str">
        <x:v>display_merchandising</x:v>
      </x:c>
      <x:c r="F161" s="28" t="str">
        <x:v>DM01_wall_hanging_rail_execution</x:v>
      </x:c>
      <x:c r="G161" s="28" t="str">
        <x:v>review_candidate</x:v>
      </x:c>
      <x:c r="H161" s="28" t="str">
        <x:v>batch_6_display</x:v>
      </x:c>
      <x:c r="I161" s="28" t="str">
        <x:v>PRJ-ADR-018; PRJ-ADR-006; PRJ-STRATEGY-V1</x:v>
      </x:c>
      <x:c r="J161" s="28" t="str">
        <x:v>DM-V07; DM-V19; DM-V23</x:v>
      </x:c>
      <x:c r="K161" s="28" t="str"/>
      <x:c r="L161" s="28" t="str">
        <x:v>diyu_global_asset_v0.2</x:v>
      </x:c>
      <x:c r="M161" s="28" t="str">
        <x:v>create_review_candidate</x:v>
      </x:c>
    </x:row>
    <x:row r="162">
      <x:c r="A162" s="28" t="str">
        <x:v>GM-GROUP-001</x:v>
      </x:c>
      <x:c r="B162" s="28" t="str">
        <x:v>G</x:v>
      </x:c>
      <x:c r="C162" s="28" t="str">
        <x:v>generation_method</x:v>
      </x:c>
      <x:c r="D162" s="28" t="str">
        <x:v>把所选商品编译为少量可读搭配区</x:v>
      </x:c>
      <x:c r="E162" s="28" t="str">
        <x:v>display_merchandising</x:v>
      </x:c>
      <x:c r="F162" s="28" t="str">
        <x:v>DM01_wall_hanging_rail_execution</x:v>
      </x:c>
      <x:c r="G162" s="28" t="str">
        <x:v>review_candidate</x:v>
      </x:c>
      <x:c r="H162" s="28" t="str">
        <x:v>batch_6_display</x:v>
      </x:c>
      <x:c r="I162" s="28" t="str">
        <x:v>PRJ-D005-GOLD-V03; EXP-G-COMPILER-001</x:v>
      </x:c>
      <x:c r="J162" s="28" t="str">
        <x:v>DM-GOLD-001</x:v>
      </x:c>
      <x:c r="K162" s="28" t="str">
        <x:v>G-GROUP-001; G-GROUP-002</x:v>
      </x:c>
      <x:c r="L162" s="28" t="str">
        <x:v>diyu_global_asset_v0.2</x:v>
      </x:c>
      <x:c r="M162" s="28" t="str">
        <x:v>create_review_candidate</x:v>
      </x:c>
    </x:row>
    <x:row r="163">
      <x:c r="A163" s="28" t="str">
        <x:v>GM-INTAKE-001</x:v>
      </x:c>
      <x:c r="B163" s="28" t="str">
        <x:v>G</x:v>
      </x:c>
      <x:c r="C163" s="28" t="str">
        <x:v>generation_method</x:v>
      </x:c>
      <x:c r="D163" s="28" t="str">
        <x:v>首次使用从自然说明建立最小挂杆条件档案</x:v>
      </x:c>
      <x:c r="E163" s="28" t="str">
        <x:v>display_merchandising</x:v>
      </x:c>
      <x:c r="F163" s="28" t="str">
        <x:v>DM01_wall_hanging_rail_execution</x:v>
      </x:c>
      <x:c r="G163" s="28" t="str">
        <x:v>review_candidate</x:v>
      </x:c>
      <x:c r="H163" s="28" t="str">
        <x:v>batch_6_display</x:v>
      </x:c>
      <x:c r="I163" s="28" t="str">
        <x:v>PRJ-ADR-014; PRJ-ADR-018; PRJ-D005-GOLD-V03</x:v>
      </x:c>
      <x:c r="J163" s="28" t="str">
        <x:v>DM-V01; DM-V21</x:v>
      </x:c>
      <x:c r="K163" s="28" t="str"/>
      <x:c r="L163" s="28" t="str">
        <x:v>diyu_global_asset_v0.2</x:v>
      </x:c>
      <x:c r="M163" s="28" t="str">
        <x:v>create_review_candidate</x:v>
      </x:c>
    </x:row>
    <x:row r="164">
      <x:c r="A164" s="28" t="str">
        <x:v>GM-LAYOUT-001</x:v>
      </x:c>
      <x:c r="B164" s="28" t="str">
        <x:v>G</x:v>
      </x:c>
      <x:c r="C164" s="28" t="str">
        <x:v>generation_method</x:v>
      </x:c>
      <x:c r="D164" s="28" t="str">
        <x:v>把搭配区映射为上下、左右和正侧挂结构</x:v>
      </x:c>
      <x:c r="E164" s="28" t="str">
        <x:v>display_merchandising</x:v>
      </x:c>
      <x:c r="F164" s="28" t="str">
        <x:v>DM01_wall_hanging_rail_execution</x:v>
      </x:c>
      <x:c r="G164" s="28" t="str">
        <x:v>review_candidate</x:v>
      </x:c>
      <x:c r="H164" s="28" t="str">
        <x:v>batch_6_display</x:v>
      </x:c>
      <x:c r="I164" s="28" t="str">
        <x:v>PRJ-ADR-018; PRJ-D005-GOLD-V03</x:v>
      </x:c>
      <x:c r="J164" s="28" t="str">
        <x:v>DM-GOLD-001; DM-V05</x:v>
      </x:c>
      <x:c r="K164" s="28" t="str">
        <x:v>G-FIXTURE-001; G-GROUP-002</x:v>
      </x:c>
      <x:c r="L164" s="28" t="str">
        <x:v>diyu_global_asset_v0.2</x:v>
      </x:c>
      <x:c r="M164" s="28" t="str">
        <x:v>create_review_candidate</x:v>
      </x:c>
    </x:row>
    <x:row r="165">
      <x:c r="A165" s="28" t="str">
        <x:v>GM-REPLAN-001</x:v>
      </x:c>
      <x:c r="B165" s="28" t="str">
        <x:v>G</x:v>
      </x:c>
      <x:c r="C165" s="28" t="str">
        <x:v>generation_method</x:v>
      </x:c>
      <x:c r="D165" s="28" t="str">
        <x:v>以承重变化判断局部修订还是整体重算</x:v>
      </x:c>
      <x:c r="E165" s="28" t="str">
        <x:v>display_merchandising</x:v>
      </x:c>
      <x:c r="F165" s="28" t="str">
        <x:v>DM01_wall_hanging_rail_execution</x:v>
      </x:c>
      <x:c r="G165" s="28" t="str">
        <x:v>review_candidate</x:v>
      </x:c>
      <x:c r="H165" s="28" t="str">
        <x:v>batch_6_display</x:v>
      </x:c>
      <x:c r="I165" s="28" t="str">
        <x:v>PRJ-ADR-018; EXP-G-COMPILER-001</x:v>
      </x:c>
      <x:c r="J165" s="28" t="str">
        <x:v>DM-V04</x:v>
      </x:c>
      <x:c r="K165" s="28" t="str">
        <x:v>G-REV-004; G-SUB-004</x:v>
      </x:c>
      <x:c r="L165" s="28" t="str">
        <x:v>diyu_global_asset_v0.2</x:v>
      </x:c>
      <x:c r="M165" s="28" t="str">
        <x:v>create_review_candidate</x:v>
      </x:c>
    </x:row>
    <x:row r="166">
      <x:c r="A166" s="28" t="str">
        <x:v>GM-REVISE-001</x:v>
      </x:c>
      <x:c r="B166" s="28" t="str">
        <x:v>G</x:v>
      </x:c>
      <x:c r="C166" s="28" t="str">
        <x:v>generation_method</x:v>
      </x:c>
      <x:c r="D166" s="28" t="str">
        <x:v>只修订受影响部分并形成完整新版</x:v>
      </x:c>
      <x:c r="E166" s="28" t="str">
        <x:v>display_merchandising</x:v>
      </x:c>
      <x:c r="F166" s="28" t="str">
        <x:v>DM01_wall_hanging_rail_execution</x:v>
      </x:c>
      <x:c r="G166" s="28" t="str">
        <x:v>review_candidate</x:v>
      </x:c>
      <x:c r="H166" s="28" t="str">
        <x:v>batch_6_display</x:v>
      </x:c>
      <x:c r="I166" s="28" t="str">
        <x:v>PRJ-D005-GOLD-V03; PRJ-ADR-010</x:v>
      </x:c>
      <x:c r="J166" s="28" t="str">
        <x:v>DM-GOLD-002; DM-V06; DM-V22</x:v>
      </x:c>
      <x:c r="K166" s="28" t="str">
        <x:v>G-REV-003; G-DENSITY-004</x:v>
      </x:c>
      <x:c r="L166" s="28" t="str">
        <x:v>diyu_global_asset_v0.2</x:v>
      </x:c>
      <x:c r="M166" s="28" t="str">
        <x:v>create_review_candidate</x:v>
      </x:c>
    </x:row>
    <x:row r="167">
      <x:c r="A167" s="28" t="str">
        <x:v>GM-SELECT-001</x:v>
      </x:c>
      <x:c r="B167" s="28" t="str">
        <x:v>G</x:v>
      </x:c>
      <x:c r="C167" s="28" t="str">
        <x:v>generation_method</x:v>
      </x:c>
      <x:c r="D167" s="28" t="str">
        <x:v>先选择上墙集合，再组织空间</x:v>
      </x:c>
      <x:c r="E167" s="28" t="str">
        <x:v>display_merchandising</x:v>
      </x:c>
      <x:c r="F167" s="28" t="str">
        <x:v>DM01_wall_hanging_rail_execution</x:v>
      </x:c>
      <x:c r="G167" s="28" t="str">
        <x:v>review_candidate</x:v>
      </x:c>
      <x:c r="H167" s="28" t="str">
        <x:v>batch_6_display</x:v>
      </x:c>
      <x:c r="I167" s="28" t="str">
        <x:v>PRJ-ADR-018; PRJ-D005-GOLD-V03</x:v>
      </x:c>
      <x:c r="J167" s="28" t="str">
        <x:v>DM-GOLD-001; DM-V03; DM-V13</x:v>
      </x:c>
      <x:c r="K167" s="28" t="str">
        <x:v>G-TASK-004; G-DENSITY-001</x:v>
      </x:c>
      <x:c r="L167" s="28" t="str">
        <x:v>diyu_global_asset_v0.2</x:v>
      </x:c>
      <x:c r="M167" s="28" t="str">
        <x:v>create_review_candidate</x:v>
      </x:c>
    </x:row>
    <x:row r="168">
      <x:c r="A168" s="28" t="str">
        <x:v>GM-SUB-001</x:v>
      </x:c>
      <x:c r="B168" s="28" t="str">
        <x:v>G</x:v>
      </x:c>
      <x:c r="C168" s="28" t="str">
        <x:v>generation_method</x:v>
      </x:c>
      <x:c r="D168" s="28" t="str">
        <x:v>为每个关键组生成最短替代梯度</x:v>
      </x:c>
      <x:c r="E168" s="28" t="str">
        <x:v>display_merchandising</x:v>
      </x:c>
      <x:c r="F168" s="28" t="str">
        <x:v>DM01_wall_hanging_rail_execution</x:v>
      </x:c>
      <x:c r="G168" s="28" t="str">
        <x:v>review_candidate</x:v>
      </x:c>
      <x:c r="H168" s="28" t="str">
        <x:v>batch_6_display</x:v>
      </x:c>
      <x:c r="I168" s="28" t="str">
        <x:v>PRJ-D005-GOLD-V03</x:v>
      </x:c>
      <x:c r="J168" s="28" t="str">
        <x:v>DM-GOLD-001; DM-V15</x:v>
      </x:c>
      <x:c r="K168" s="28" t="str">
        <x:v>G-SUB-001; G-SUB-002; G-SUB-003; G-SUB-004</x:v>
      </x:c>
      <x:c r="L168" s="28" t="str">
        <x:v>diyu_global_asset_v0.2</x:v>
      </x:c>
      <x:c r="M168" s="28" t="str">
        <x:v>create_review_candidate</x:v>
      </x:c>
    </x:row>
    <x:row r="169">
      <x:c r="A169" s="28" t="str">
        <x:v>H-DM-APP-001</x:v>
      </x:c>
      <x:c r="B169" s="28" t="str">
        <x:v>H</x:v>
      </x:c>
      <x:c r="C169" s="28" t="str">
        <x:v>evaluation_rule</x:v>
      </x:c>
      <x:c r="D169" s="28" t="str">
        <x:v>陈列任务必须使用 display-merchandising 合同</x:v>
      </x:c>
      <x:c r="E169" s="28" t="str">
        <x:v>hard_gate</x:v>
      </x:c>
      <x:c r="F169" s="28" t="str">
        <x:v>DM01_wall_hanging_rail_execution</x:v>
      </x:c>
      <x:c r="G169" s="28" t="str">
        <x:v>review_candidate</x:v>
      </x:c>
      <x:c r="H169" s="28" t="str">
        <x:v>batch_6_display</x:v>
      </x:c>
      <x:c r="I169" s="28" t="str">
        <x:v>PRJ-ADR-002; PRJ-ADR-018</x:v>
      </x:c>
      <x:c r="J169" s="28" t="str">
        <x:v>DM-V08</x:v>
      </x:c>
      <x:c r="K169" s="28" t="str"/>
      <x:c r="L169" s="28" t="str">
        <x:v>diyu_global_asset_v0.2</x:v>
      </x:c>
      <x:c r="M169" s="28" t="str">
        <x:v>create_review_candidate</x:v>
      </x:c>
    </x:row>
    <x:row r="170">
      <x:c r="A170" s="28" t="str">
        <x:v>H-DM-AUTH-001</x:v>
      </x:c>
      <x:c r="B170" s="28" t="str">
        <x:v>H</x:v>
      </x:c>
      <x:c r="C170" s="28" t="str">
        <x:v>evaluation_rule</x:v>
      </x:c>
      <x:c r="D170" s="28" t="str">
        <x:v>组织、门店与工作区权限隔离</x:v>
      </x:c>
      <x:c r="E170" s="28" t="str">
        <x:v>hard_gate</x:v>
      </x:c>
      <x:c r="F170" s="28" t="str">
        <x:v>DM01_wall_hanging_rail_execution</x:v>
      </x:c>
      <x:c r="G170" s="28" t="str">
        <x:v>review_candidate</x:v>
      </x:c>
      <x:c r="H170" s="28" t="str">
        <x:v>batch_6_display</x:v>
      </x:c>
      <x:c r="I170" s="28" t="str">
        <x:v>PRJ-ADR-001; PRJ-ADR-006; PRJ-ADR-010; PRJ-ADR-018</x:v>
      </x:c>
      <x:c r="J170" s="28" t="str">
        <x:v>DM-V24</x:v>
      </x:c>
      <x:c r="K170" s="28" t="str"/>
      <x:c r="L170" s="28" t="str">
        <x:v>diyu_global_asset_v0.2</x:v>
      </x:c>
      <x:c r="M170" s="28" t="str">
        <x:v>create_review_candidate</x:v>
      </x:c>
    </x:row>
    <x:row r="171">
      <x:c r="A171" s="28" t="str">
        <x:v>H-DM-BRAND-001</x:v>
      </x:c>
      <x:c r="B171" s="28" t="str">
        <x:v>H</x:v>
      </x:c>
      <x:c r="C171" s="28" t="str">
        <x:v>evaluation_rule</x:v>
      </x:c>
      <x:c r="D171" s="28" t="str">
        <x:v>品牌陈列标准必须实质改变方案</x:v>
      </x:c>
      <x:c r="E171" s="28" t="str">
        <x:v>quality_criterion</x:v>
      </x:c>
      <x:c r="F171" s="28" t="str">
        <x:v>DM01_wall_hanging_rail_execution</x:v>
      </x:c>
      <x:c r="G171" s="28" t="str">
        <x:v>review_candidate</x:v>
      </x:c>
      <x:c r="H171" s="28" t="str">
        <x:v>batch_6_display</x:v>
      </x:c>
      <x:c r="I171" s="28" t="str">
        <x:v>PRJ-STRATEGY-V1; PRJ-ADR-018</x:v>
      </x:c>
      <x:c r="J171" s="28" t="str">
        <x:v>DM-V07; DM-V23</x:v>
      </x:c>
      <x:c r="K171" s="28" t="str"/>
      <x:c r="L171" s="28" t="str">
        <x:v>diyu_global_asset_v0.2</x:v>
      </x:c>
      <x:c r="M171" s="28" t="str">
        <x:v>create_review_candidate</x:v>
      </x:c>
    </x:row>
    <x:row r="172">
      <x:c r="A172" s="28" t="str">
        <x:v>H-DM-COMPLETE-001</x:v>
      </x:c>
      <x:c r="B172" s="28" t="str">
        <x:v>H</x:v>
      </x:c>
      <x:c r="C172" s="28" t="str">
        <x:v>evaluation_rule</x:v>
      </x:c>
      <x:c r="D172" s="28" t="str">
        <x:v>墙面挂杆成品必须是完整文字执行方案</x:v>
      </x:c>
      <x:c r="E172" s="28" t="str">
        <x:v>hard_gate</x:v>
      </x:c>
      <x:c r="F172" s="28" t="str">
        <x:v>DM01_wall_hanging_rail_execution</x:v>
      </x:c>
      <x:c r="G172" s="28" t="str">
        <x:v>review_candidate</x:v>
      </x:c>
      <x:c r="H172" s="28" t="str">
        <x:v>batch_6_display</x:v>
      </x:c>
      <x:c r="I172" s="28" t="str">
        <x:v>PRJ-ADR-014; PRJ-ADR-018; PRJ-D005-GOLD-V03</x:v>
      </x:c>
      <x:c r="J172" s="28" t="str">
        <x:v>DM-GOLD-001; DM-NEAR-001</x:v>
      </x:c>
      <x:c r="K172" s="28" t="str"/>
      <x:c r="L172" s="28" t="str">
        <x:v>diyu_global_asset_v0.2</x:v>
      </x:c>
      <x:c r="M172" s="28" t="str">
        <x:v>create_review_candidate</x:v>
      </x:c>
    </x:row>
    <x:row r="173">
      <x:c r="A173" s="28" t="str">
        <x:v>H-DM-COUNT-001</x:v>
      </x:c>
      <x:c r="B173" s="28" t="str">
        <x:v>H</x:v>
      </x:c>
      <x:c r="C173" s="28" t="str">
        <x:v>evaluation_rule</x:v>
      </x:c>
      <x:c r="D173" s="28" t="str">
        <x:v>方案件数与库存、上墙和未上墙明细必须一致</x:v>
      </x:c>
      <x:c r="E173" s="28" t="str">
        <x:v>hard_gate</x:v>
      </x:c>
      <x:c r="F173" s="28" t="str">
        <x:v>DM01_wall_hanging_rail_execution</x:v>
      </x:c>
      <x:c r="G173" s="28" t="str">
        <x:v>review_candidate</x:v>
      </x:c>
      <x:c r="H173" s="28" t="str">
        <x:v>batch_6_display</x:v>
      </x:c>
      <x:c r="I173" s="28" t="str">
        <x:v>PRJ-ADR-007; PRJ-D005-GOLD-V03</x:v>
      </x:c>
      <x:c r="J173" s="28" t="str">
        <x:v>DM-GOLD-001; DM-GOLD-002; DM-V03</x:v>
      </x:c>
      <x:c r="K173" s="28" t="str"/>
      <x:c r="L173" s="28" t="str">
        <x:v>diyu_global_asset_v0.2</x:v>
      </x:c>
      <x:c r="M173" s="28" t="str">
        <x:v>create_review_candidate</x:v>
      </x:c>
    </x:row>
    <x:row r="174">
      <x:c r="A174" s="28" t="str">
        <x:v>H-DM-DAILY-001</x:v>
      </x:c>
      <x:c r="B174" s="28" t="str">
        <x:v>H</x:v>
      </x:c>
      <x:c r="C174" s="28" t="str">
        <x:v>evaluation_rule</x:v>
      </x:c>
      <x:c r="D174" s="28" t="str">
        <x:v>日常任务可只提交实际可用库存清单</x:v>
      </x:c>
      <x:c r="E174" s="28" t="str">
        <x:v>hard_gate</x:v>
      </x:c>
      <x:c r="F174" s="28" t="str">
        <x:v>DM01_wall_hanging_rail_execution</x:v>
      </x:c>
      <x:c r="G174" s="28" t="str">
        <x:v>review_candidate</x:v>
      </x:c>
      <x:c r="H174" s="28" t="str">
        <x:v>batch_6_display</x:v>
      </x:c>
      <x:c r="I174" s="28" t="str">
        <x:v>PRJ-ADR-007; PRJ-ADR-014; PRJ-ADR-018</x:v>
      </x:c>
      <x:c r="J174" s="28" t="str">
        <x:v>DM-V02; DM-V19</x:v>
      </x:c>
      <x:c r="K174" s="28" t="str"/>
      <x:c r="L174" s="28" t="str">
        <x:v>diyu_global_asset_v0.2</x:v>
      </x:c>
      <x:c r="M174" s="28" t="str">
        <x:v>create_review_candidate</x:v>
      </x:c>
    </x:row>
    <x:row r="175">
      <x:c r="A175" s="28" t="str">
        <x:v>H-DM-DENSITY-001</x:v>
      </x:c>
      <x:c r="B175" s="28" t="str">
        <x:v>H</x:v>
      </x:c>
      <x:c r="C175" s="28" t="str">
        <x:v>evaluation_rule</x:v>
      </x:c>
      <x:c r="D175" s="28" t="str">
        <x:v>数量与间距必须兼顾厚度、袖量和抽取便利</x:v>
      </x:c>
      <x:c r="E175" s="28" t="str">
        <x:v>quality_criterion</x:v>
      </x:c>
      <x:c r="F175" s="28" t="str">
        <x:v>DM01_wall_hanging_rail_execution</x:v>
      </x:c>
      <x:c r="G175" s="28" t="str">
        <x:v>review_candidate</x:v>
      </x:c>
      <x:c r="H175" s="28" t="str">
        <x:v>batch_6_display</x:v>
      </x:c>
      <x:c r="I175" s="28" t="str">
        <x:v>PRJ-ADR-018; PRJ-D005-GOLD-V03</x:v>
      </x:c>
      <x:c r="J175" s="28" t="str">
        <x:v>DM-V06; DM-V13; DM-V16</x:v>
      </x:c>
      <x:c r="K175" s="28" t="str"/>
      <x:c r="L175" s="28" t="str">
        <x:v>diyu_global_asset_v0.2</x:v>
      </x:c>
      <x:c r="M175" s="28" t="str">
        <x:v>create_review_candidate</x:v>
      </x:c>
    </x:row>
    <x:row r="176">
      <x:c r="A176" s="28" t="str">
        <x:v>H-DM-FIRSTUSE-001</x:v>
      </x:c>
      <x:c r="B176" s="28" t="str">
        <x:v>H</x:v>
      </x:c>
      <x:c r="C176" s="28" t="str">
        <x:v>evaluation_rule</x:v>
      </x:c>
      <x:c r="D176" s="28" t="str">
        <x:v>首次数据依赖方案必须具备最小挂杆条件</x:v>
      </x:c>
      <x:c r="E176" s="28" t="str">
        <x:v>hard_gate</x:v>
      </x:c>
      <x:c r="F176" s="28" t="str">
        <x:v>DM01_wall_hanging_rail_execution</x:v>
      </x:c>
      <x:c r="G176" s="28" t="str">
        <x:v>review_candidate</x:v>
      </x:c>
      <x:c r="H176" s="28" t="str">
        <x:v>batch_6_display</x:v>
      </x:c>
      <x:c r="I176" s="28" t="str">
        <x:v>PRJ-ADR-014; PRJ-ADR-018</x:v>
      </x:c>
      <x:c r="J176" s="28" t="str">
        <x:v>DM-V01; DM-V21</x:v>
      </x:c>
      <x:c r="K176" s="28" t="str"/>
      <x:c r="L176" s="28" t="str">
        <x:v>diyu_global_asset_v0.2</x:v>
      </x:c>
      <x:c r="M176" s="28" t="str">
        <x:v>create_review_candidate</x:v>
      </x:c>
    </x:row>
    <x:row r="177">
      <x:c r="A177" s="28" t="str">
        <x:v>H-DM-FLOW-001</x:v>
      </x:c>
      <x:c r="B177" s="28" t="str">
        <x:v>H</x:v>
      </x:c>
      <x:c r="C177" s="28" t="str">
        <x:v>evaluation_rule</x:v>
      </x:c>
      <x:c r="D177" s="28" t="str">
        <x:v>主要来客方向必须参与左右阅读顺序</x:v>
      </x:c>
      <x:c r="E177" s="28" t="str">
        <x:v>quality_criterion</x:v>
      </x:c>
      <x:c r="F177" s="28" t="str">
        <x:v>DM01_wall_hanging_rail_execution</x:v>
      </x:c>
      <x:c r="G177" s="28" t="str">
        <x:v>review_candidate</x:v>
      </x:c>
      <x:c r="H177" s="28" t="str">
        <x:v>batch_6_display</x:v>
      </x:c>
      <x:c r="I177" s="28" t="str">
        <x:v>PRJ-ADR-018; PRJ-D005-GOLD-V03</x:v>
      </x:c>
      <x:c r="J177" s="28" t="str">
        <x:v>DM-V05</x:v>
      </x:c>
      <x:c r="K177" s="28" t="str"/>
      <x:c r="L177" s="28" t="str">
        <x:v>diyu_global_asset_v0.2</x:v>
      </x:c>
      <x:c r="M177" s="28" t="str">
        <x:v>create_review_candidate</x:v>
      </x:c>
    </x:row>
    <x:row r="178">
      <x:c r="A178" s="28" t="str">
        <x:v>H-DM-FOCUS-001</x:v>
      </x:c>
      <x:c r="B178" s="28" t="str">
        <x:v>H</x:v>
      </x:c>
      <x:c r="C178" s="28" t="str">
        <x:v>evaluation_rule</x:v>
      </x:c>
      <x:c r="D178" s="28" t="str">
        <x:v>方案必须有一个清楚主焦点和较弱回应</x:v>
      </x:c>
      <x:c r="E178" s="28" t="str">
        <x:v>quality_criterion</x:v>
      </x:c>
      <x:c r="F178" s="28" t="str">
        <x:v>DM01_wall_hanging_rail_execution</x:v>
      </x:c>
      <x:c r="G178" s="28" t="str">
        <x:v>review_candidate</x:v>
      </x:c>
      <x:c r="H178" s="28" t="str">
        <x:v>batch_6_display</x:v>
      </x:c>
      <x:c r="I178" s="28" t="str">
        <x:v>PRJ-ADR-018; PRJ-D005-GOLD-V03</x:v>
      </x:c>
      <x:c r="J178" s="28" t="str">
        <x:v>DM-GOLD-001; DM-V05</x:v>
      </x:c>
      <x:c r="K178" s="28" t="str"/>
      <x:c r="L178" s="28" t="str">
        <x:v>diyu_global_asset_v0.2</x:v>
      </x:c>
      <x:c r="M178" s="28" t="str">
        <x:v>create_review_candidate</x:v>
      </x:c>
    </x:row>
    <x:row r="179">
      <x:c r="A179" s="28" t="str">
        <x:v>H-DM-GROUP-001</x:v>
      </x:c>
      <x:c r="B179" s="28" t="str">
        <x:v>H</x:v>
      </x:c>
      <x:c r="C179" s="28" t="str">
        <x:v>evaluation_rule</x:v>
      </x:c>
      <x:c r="D179" s="28" t="str">
        <x:v>视觉陈列必须形成可读搭配区而非品类容量墙</x:v>
      </x:c>
      <x:c r="E179" s="28" t="str">
        <x:v>quality_criterion</x:v>
      </x:c>
      <x:c r="F179" s="28" t="str">
        <x:v>DM01_wall_hanging_rail_execution</x:v>
      </x:c>
      <x:c r="G179" s="28" t="str">
        <x:v>review_candidate</x:v>
      </x:c>
      <x:c r="H179" s="28" t="str">
        <x:v>batch_6_display</x:v>
      </x:c>
      <x:c r="I179" s="28" t="str">
        <x:v>PRJ-ADR-018; PRJ-D005-GOLD-V03</x:v>
      </x:c>
      <x:c r="J179" s="28" t="str">
        <x:v>DM-NEAR-001</x:v>
      </x:c>
      <x:c r="K179" s="28" t="str"/>
      <x:c r="L179" s="28" t="str">
        <x:v>diyu_global_asset_v0.2</x:v>
      </x:c>
      <x:c r="M179" s="28" t="str">
        <x:v>create_review_candidate</x:v>
      </x:c>
    </x:row>
    <x:row r="180">
      <x:c r="A180" s="28" t="str">
        <x:v>H-DM-HANG-001</x:v>
      </x:c>
      <x:c r="B180" s="28" t="str">
        <x:v>H</x:v>
      </x:c>
      <x:c r="C180" s="28" t="str">
        <x:v>evaluation_rule</x:v>
      </x:c>
      <x:c r="D180" s="28" t="str">
        <x:v>正挂、侧挂与上下杆职责必须清楚</x:v>
      </x:c>
      <x:c r="E180" s="28" t="str">
        <x:v>quality_criterion</x:v>
      </x:c>
      <x:c r="F180" s="28" t="str">
        <x:v>DM01_wall_hanging_rail_execution</x:v>
      </x:c>
      <x:c r="G180" s="28" t="str">
        <x:v>review_candidate</x:v>
      </x:c>
      <x:c r="H180" s="28" t="str">
        <x:v>batch_6_display</x:v>
      </x:c>
      <x:c r="I180" s="28" t="str">
        <x:v>PRJ-ADR-018; PRJ-D005-GOLD-V03</x:v>
      </x:c>
      <x:c r="J180" s="28" t="str">
        <x:v>DM-GOLD-001; DM-NEAR-001</x:v>
      </x:c>
      <x:c r="K180" s="28" t="str"/>
      <x:c r="L180" s="28" t="str">
        <x:v>diyu_global_asset_v0.2</x:v>
      </x:c>
      <x:c r="M180" s="28" t="str">
        <x:v>create_review_candidate</x:v>
      </x:c>
    </x:row>
    <x:row r="181">
      <x:c r="A181" s="28" t="str">
        <x:v>H-DM-INVENTORY-001</x:v>
      </x:c>
      <x:c r="B181" s="28" t="str">
        <x:v>H</x:v>
      </x:c>
      <x:c r="C181" s="28" t="str">
        <x:v>evaluation_rule</x:v>
      </x:c>
      <x:c r="D181" s="28" t="str">
        <x:v>人工库存只作当前任务输入且不得改数</x:v>
      </x:c>
      <x:c r="E181" s="28" t="str">
        <x:v>hard_gate</x:v>
      </x:c>
      <x:c r="F181" s="28" t="str">
        <x:v>DM01_wall_hanging_rail_execution</x:v>
      </x:c>
      <x:c r="G181" s="28" t="str">
        <x:v>review_candidate</x:v>
      </x:c>
      <x:c r="H181" s="28" t="str">
        <x:v>batch_6_display</x:v>
      </x:c>
      <x:c r="I181" s="28" t="str">
        <x:v>PRJ-ADR-007; PRJ-ADR-014; PRJ-ADR-018</x:v>
      </x:c>
      <x:c r="J181" s="28" t="str">
        <x:v>DM-V03; DM-V20</x:v>
      </x:c>
      <x:c r="K181" s="28" t="str"/>
      <x:c r="L181" s="28" t="str">
        <x:v>diyu_global_asset_v0.2</x:v>
      </x:c>
      <x:c r="M181" s="28" t="str">
        <x:v>create_review_candidate</x:v>
      </x:c>
    </x:row>
    <x:row r="182">
      <x:c r="A182" s="28" t="str">
        <x:v>H-DM-NOINSPECT-001</x:v>
      </x:c>
      <x:c r="B182" s="28" t="str">
        <x:v>H</x:v>
      </x:c>
      <x:c r="C182" s="28" t="str">
        <x:v>evaluation_rule</x:v>
      </x:c>
      <x:c r="D182" s="28" t="str">
        <x:v>首期不得生成识图巡检、评分或整改任务</x:v>
      </x:c>
      <x:c r="E182" s="28" t="str">
        <x:v>hard_gate</x:v>
      </x:c>
      <x:c r="F182" s="28" t="str">
        <x:v>DM01_wall_hanging_rail_execution</x:v>
      </x:c>
      <x:c r="G182" s="28" t="str">
        <x:v>review_candidate</x:v>
      </x:c>
      <x:c r="H182" s="28" t="str">
        <x:v>batch_6_display</x:v>
      </x:c>
      <x:c r="I182" s="28" t="str">
        <x:v>PRJ-ADR-002; PRJ-ADR-006; PRJ-ADR-018</x:v>
      </x:c>
      <x:c r="J182" s="28" t="str">
        <x:v>DM-V09</x:v>
      </x:c>
      <x:c r="K182" s="28" t="str"/>
      <x:c r="L182" s="28" t="str">
        <x:v>diyu_global_asset_v0.2</x:v>
      </x:c>
      <x:c r="M182" s="28" t="str">
        <x:v>create_review_candidate</x:v>
      </x:c>
    </x:row>
    <x:row r="183">
      <x:c r="A183" s="28" t="str">
        <x:v>H-DM-OFFLINE-BOUNDARY-001</x:v>
      </x:c>
      <x:c r="B183" s="28" t="str">
        <x:v>H</x:v>
      </x:c>
      <x:c r="C183" s="28" t="str">
        <x:v>evaluation_rule</x:v>
      </x:c>
      <x:c r="D183" s="28" t="str">
        <x:v>切换到对外内容或巡检时必须正确退出</x:v>
      </x:c>
      <x:c r="E183" s="28" t="str">
        <x:v>offline_test</x:v>
      </x:c>
      <x:c r="F183" s="28" t="str">
        <x:v>DM01_wall_hanging_rail_execution</x:v>
      </x:c>
      <x:c r="G183" s="28" t="str">
        <x:v>review_candidate</x:v>
      </x:c>
      <x:c r="H183" s="28" t="str">
        <x:v>batch_6_display</x:v>
      </x:c>
      <x:c r="I183" s="28" t="str">
        <x:v>PRJ-ADR-002; PRJ-ADR-006; PRJ-ADR-018</x:v>
      </x:c>
      <x:c r="J183" s="28" t="str">
        <x:v>DM-V08; DM-V09</x:v>
      </x:c>
      <x:c r="K183" s="28" t="str"/>
      <x:c r="L183" s="28" t="str">
        <x:v>diyu_global_asset_v0.2</x:v>
      </x:c>
      <x:c r="M183" s="28" t="str">
        <x:v>create_review_candidate</x:v>
      </x:c>
    </x:row>
    <x:row r="184">
      <x:c r="A184" s="28" t="str">
        <x:v>H-DM-OFFLINE-BRAND-001</x:v>
      </x:c>
      <x:c r="B184" s="28" t="str">
        <x:v>H</x:v>
      </x:c>
      <x:c r="C184" s="28" t="str">
        <x:v>evaluation_rule</x:v>
      </x:c>
      <x:c r="D184" s="28" t="str">
        <x:v>换品牌后视觉组织必须随品牌标准变化</x:v>
      </x:c>
      <x:c r="E184" s="28" t="str">
        <x:v>offline_test</x:v>
      </x:c>
      <x:c r="F184" s="28" t="str">
        <x:v>DM01_wall_hanging_rail_execution</x:v>
      </x:c>
      <x:c r="G184" s="28" t="str">
        <x:v>review_candidate</x:v>
      </x:c>
      <x:c r="H184" s="28" t="str">
        <x:v>batch_6_display</x:v>
      </x:c>
      <x:c r="I184" s="28" t="str">
        <x:v>PRJ-ADR-001; PRJ-ADR-018</x:v>
      </x:c>
      <x:c r="J184" s="28" t="str">
        <x:v>DM-V07; DM-V23; DM-V24</x:v>
      </x:c>
      <x:c r="K184" s="28" t="str"/>
      <x:c r="L184" s="28" t="str">
        <x:v>diyu_global_asset_v0.2</x:v>
      </x:c>
      <x:c r="M184" s="28" t="str">
        <x:v>create_review_candidate</x:v>
      </x:c>
    </x:row>
    <x:row r="185">
      <x:c r="A185" s="28" t="str">
        <x:v>H-DM-OFFLINE-CARRIER-001</x:v>
      </x:c>
      <x:c r="B185" s="28" t="str">
        <x:v>H</x:v>
      </x:c>
      <x:c r="C185" s="28" t="str">
        <x:v>evaluation_rule</x:v>
      </x:c>
      <x:c r="D185" s="28" t="str">
        <x:v>区域或载体变化必须退出当前合同</x:v>
      </x:c>
      <x:c r="E185" s="28" t="str">
        <x:v>offline_test</x:v>
      </x:c>
      <x:c r="F185" s="28" t="str">
        <x:v>DM01_wall_hanging_rail_execution</x:v>
      </x:c>
      <x:c r="G185" s="28" t="str">
        <x:v>review_candidate</x:v>
      </x:c>
      <x:c r="H185" s="28" t="str">
        <x:v>batch_6_display</x:v>
      </x:c>
      <x:c r="I185" s="28" t="str">
        <x:v>PRJ-ADR-002; PRJ-ADR-018</x:v>
      </x:c>
      <x:c r="J185" s="28" t="str">
        <x:v>DM-V11; DM-V12</x:v>
      </x:c>
      <x:c r="K185" s="28" t="str"/>
      <x:c r="L185" s="28" t="str">
        <x:v>diyu_global_asset_v0.2</x:v>
      </x:c>
      <x:c r="M185" s="28" t="str">
        <x:v>create_review_candidate</x:v>
      </x:c>
    </x:row>
    <x:row r="186">
      <x:c r="A186" s="28" t="str">
        <x:v>H-DM-OFFLINE-DAILY-001</x:v>
      </x:c>
      <x:c r="B186" s="28" t="str">
        <x:v>H</x:v>
      </x:c>
      <x:c r="C186" s="28" t="str">
        <x:v>evaluation_rule</x:v>
      </x:c>
      <x:c r="D186" s="28" t="str">
        <x:v>日常只交库存仍应生成完整方案</x:v>
      </x:c>
      <x:c r="E186" s="28" t="str">
        <x:v>offline_test</x:v>
      </x:c>
      <x:c r="F186" s="28" t="str">
        <x:v>DM01_wall_hanging_rail_execution</x:v>
      </x:c>
      <x:c r="G186" s="28" t="str">
        <x:v>review_candidate</x:v>
      </x:c>
      <x:c r="H186" s="28" t="str">
        <x:v>batch_6_display</x:v>
      </x:c>
      <x:c r="I186" s="28" t="str">
        <x:v>PRJ-ADR-018</x:v>
      </x:c>
      <x:c r="J186" s="28" t="str">
        <x:v>DM-V02</x:v>
      </x:c>
      <x:c r="K186" s="28" t="str"/>
      <x:c r="L186" s="28" t="str">
        <x:v>diyu_global_asset_v0.2</x:v>
      </x:c>
      <x:c r="M186" s="28" t="str">
        <x:v>create_review_candidate</x:v>
      </x:c>
    </x:row>
    <x:row r="187">
      <x:c r="A187" s="28" t="str">
        <x:v>H-DM-OFFLINE-FIRST-001</x:v>
      </x:c>
      <x:c r="B187" s="28" t="str">
        <x:v>H</x:v>
      </x:c>
      <x:c r="C187" s="28" t="str">
        <x:v>evaluation_rule</x:v>
      </x:c>
      <x:c r="D187" s="28" t="str">
        <x:v>首次只有库存时必须最小追问</x:v>
      </x:c>
      <x:c r="E187" s="28" t="str">
        <x:v>offline_test</x:v>
      </x:c>
      <x:c r="F187" s="28" t="str">
        <x:v>DM01_wall_hanging_rail_execution</x:v>
      </x:c>
      <x:c r="G187" s="28" t="str">
        <x:v>review_candidate</x:v>
      </x:c>
      <x:c r="H187" s="28" t="str">
        <x:v>batch_6_display</x:v>
      </x:c>
      <x:c r="I187" s="28" t="str">
        <x:v>PRJ-ADR-018</x:v>
      </x:c>
      <x:c r="J187" s="28" t="str">
        <x:v>DM-V01; DM-V21</x:v>
      </x:c>
      <x:c r="K187" s="28" t="str"/>
      <x:c r="L187" s="28" t="str">
        <x:v>diyu_global_asset_v0.2</x:v>
      </x:c>
      <x:c r="M187" s="28" t="str">
        <x:v>create_review_candidate</x:v>
      </x:c>
    </x:row>
    <x:row r="188">
      <x:c r="A188" s="28" t="str">
        <x:v>H-DM-OFFLINE-FLOW-001</x:v>
      </x:c>
      <x:c r="B188" s="28" t="str">
        <x:v>H</x:v>
      </x:c>
      <x:c r="C188" s="28" t="str">
        <x:v>evaluation_rule</x:v>
      </x:c>
      <x:c r="D188" s="28" t="str">
        <x:v>来客方向变化必须重写焦点与阅读顺序</x:v>
      </x:c>
      <x:c r="E188" s="28" t="str">
        <x:v>offline_test</x:v>
      </x:c>
      <x:c r="F188" s="28" t="str">
        <x:v>DM01_wall_hanging_rail_execution</x:v>
      </x:c>
      <x:c r="G188" s="28" t="str">
        <x:v>review_candidate</x:v>
      </x:c>
      <x:c r="H188" s="28" t="str">
        <x:v>batch_6_display</x:v>
      </x:c>
      <x:c r="I188" s="28" t="str">
        <x:v>PRJ-D005-GOLD-V03</x:v>
      </x:c>
      <x:c r="J188" s="28" t="str">
        <x:v>DM-V05</x:v>
      </x:c>
      <x:c r="K188" s="28" t="str"/>
      <x:c r="L188" s="28" t="str">
        <x:v>diyu_global_asset_v0.2</x:v>
      </x:c>
      <x:c r="M188" s="28" t="str">
        <x:v>create_review_candidate</x:v>
      </x:c>
    </x:row>
    <x:row r="189">
      <x:c r="A189" s="28" t="str">
        <x:v>H-DM-OFFLINE-PARTIAL-001</x:v>
      </x:c>
      <x:c r="B189" s="28" t="str">
        <x:v>H</x:v>
      </x:c>
      <x:c r="C189" s="28" t="str">
        <x:v>evaluation_rule</x:v>
      </x:c>
      <x:c r="D189" s="28" t="str">
        <x:v>单一区域反馈只产生局部修订</x:v>
      </x:c>
      <x:c r="E189" s="28" t="str">
        <x:v>offline_test</x:v>
      </x:c>
      <x:c r="F189" s="28" t="str">
        <x:v>DM01_wall_hanging_rail_execution</x:v>
      </x:c>
      <x:c r="G189" s="28" t="str">
        <x:v>review_candidate</x:v>
      </x:c>
      <x:c r="H189" s="28" t="str">
        <x:v>batch_6_display</x:v>
      </x:c>
      <x:c r="I189" s="28" t="str">
        <x:v>PRJ-D005-GOLD-V03</x:v>
      </x:c>
      <x:c r="J189" s="28" t="str">
        <x:v>DM-GOLD-002; DM-V06; DM-V22</x:v>
      </x:c>
      <x:c r="K189" s="28" t="str"/>
      <x:c r="L189" s="28" t="str">
        <x:v>diyu_global_asset_v0.2</x:v>
      </x:c>
      <x:c r="M189" s="28" t="str">
        <x:v>create_review_candidate</x:v>
      </x:c>
    </x:row>
    <x:row r="190">
      <x:c r="A190" s="28" t="str">
        <x:v>H-DM-OFFLINE-PRODUCT-001</x:v>
      </x:c>
      <x:c r="B190" s="28" t="str">
        <x:v>H</x:v>
      </x:c>
      <x:c r="C190" s="28" t="str">
        <x:v>evaluation_rule</x:v>
      </x:c>
      <x:c r="D190" s="28" t="str">
        <x:v>主焦点商品变化必须重写承重结构</x:v>
      </x:c>
      <x:c r="E190" s="28" t="str">
        <x:v>offline_test</x:v>
      </x:c>
      <x:c r="F190" s="28" t="str">
        <x:v>DM01_wall_hanging_rail_execution</x:v>
      </x:c>
      <x:c r="G190" s="28" t="str">
        <x:v>review_candidate</x:v>
      </x:c>
      <x:c r="H190" s="28" t="str">
        <x:v>batch_6_display</x:v>
      </x:c>
      <x:c r="I190" s="28" t="str">
        <x:v>PRJ-D005-GOLD-V03</x:v>
      </x:c>
      <x:c r="J190" s="28" t="str">
        <x:v>DM-V04; DM-V14</x:v>
      </x:c>
      <x:c r="K190" s="28" t="str"/>
      <x:c r="L190" s="28" t="str">
        <x:v>diyu_global_asset_v0.2</x:v>
      </x:c>
      <x:c r="M190" s="28" t="str">
        <x:v>create_review_candidate</x:v>
      </x:c>
    </x:row>
    <x:row r="191">
      <x:c r="A191" s="28" t="str">
        <x:v>H-DM-PRODUCT-001</x:v>
      </x:c>
      <x:c r="B191" s="28" t="str">
        <x:v>H</x:v>
      </x:c>
      <x:c r="C191" s="28" t="str">
        <x:v>evaluation_rule</x:v>
      </x:c>
      <x:c r="D191" s="28" t="str">
        <x:v>执行方案不得编造商品或商品特征</x:v>
      </x:c>
      <x:c r="E191" s="28" t="str">
        <x:v>hard_gate</x:v>
      </x:c>
      <x:c r="F191" s="28" t="str">
        <x:v>DM01_wall_hanging_rail_execution</x:v>
      </x:c>
      <x:c r="G191" s="28" t="str">
        <x:v>review_candidate</x:v>
      </x:c>
      <x:c r="H191" s="28" t="str">
        <x:v>batch_6_display</x:v>
      </x:c>
      <x:c r="I191" s="28" t="str">
        <x:v>PRJ-ADR-006; PRJ-ADR-007; PRJ-ADR-018</x:v>
      </x:c>
      <x:c r="J191" s="28" t="str">
        <x:v>DM-V04; DM-V14</x:v>
      </x:c>
      <x:c r="K191" s="28" t="str"/>
      <x:c r="L191" s="28" t="str">
        <x:v>diyu_global_asset_v0.2</x:v>
      </x:c>
      <x:c r="M191" s="28" t="str">
        <x:v>create_review_candidate</x:v>
      </x:c>
    </x:row>
    <x:row r="192">
      <x:c r="A192" s="28" t="str">
        <x:v>H-DM-REALITY-001</x:v>
      </x:c>
      <x:c r="B192" s="28" t="str">
        <x:v>H</x:v>
      </x:c>
      <x:c r="C192" s="28" t="str">
        <x:v>evaluation_rule</x:v>
      </x:c>
      <x:c r="D192" s="28" t="str">
        <x:v>方案、用户执行声明与系统核验不得混淆</x:v>
      </x:c>
      <x:c r="E192" s="28" t="str">
        <x:v>hard_gate</x:v>
      </x:c>
      <x:c r="F192" s="28" t="str">
        <x:v>DM01_wall_hanging_rail_execution</x:v>
      </x:c>
      <x:c r="G192" s="28" t="str">
        <x:v>review_candidate</x:v>
      </x:c>
      <x:c r="H192" s="28" t="str">
        <x:v>batch_6_display</x:v>
      </x:c>
      <x:c r="I192" s="28" t="str">
        <x:v>PRJ-ADR-002; PRJ-ADR-006; PRJ-ADR-018</x:v>
      </x:c>
      <x:c r="J192" s="28" t="str">
        <x:v>DM-V10</x:v>
      </x:c>
      <x:c r="K192" s="28" t="str"/>
      <x:c r="L192" s="28" t="str">
        <x:v>diyu_global_asset_v0.2</x:v>
      </x:c>
      <x:c r="M192" s="28" t="str">
        <x:v>create_review_candidate</x:v>
      </x:c>
    </x:row>
    <x:row r="193">
      <x:c r="A193" s="28" t="str">
        <x:v>H-DM-REVISION-001</x:v>
      </x:c>
      <x:c r="B193" s="28" t="str">
        <x:v>H</x:v>
      </x:c>
      <x:c r="C193" s="28" t="str">
        <x:v>evaluation_rule</x:v>
      </x:c>
      <x:c r="D193" s="28" t="str">
        <x:v>自然反馈后只修订受影响部分</x:v>
      </x:c>
      <x:c r="E193" s="28" t="str">
        <x:v>hard_gate</x:v>
      </x:c>
      <x:c r="F193" s="28" t="str">
        <x:v>DM01_wall_hanging_rail_execution</x:v>
      </x:c>
      <x:c r="G193" s="28" t="str">
        <x:v>review_candidate</x:v>
      </x:c>
      <x:c r="H193" s="28" t="str">
        <x:v>batch_6_display</x:v>
      </x:c>
      <x:c r="I193" s="28" t="str">
        <x:v>PRJ-ADR-010; PRJ-ADR-018; PRJ-D005-GOLD-V03</x:v>
      </x:c>
      <x:c r="J193" s="28" t="str">
        <x:v>DM-GOLD-002; DM-V06; DM-V22</x:v>
      </x:c>
      <x:c r="K193" s="28" t="str"/>
      <x:c r="L193" s="28" t="str">
        <x:v>diyu_global_asset_v0.2</x:v>
      </x:c>
      <x:c r="M193" s="28" t="str">
        <x:v>create_review_candidate</x:v>
      </x:c>
    </x:row>
    <x:row r="194">
      <x:c r="A194" s="28" t="str">
        <x:v>H-DM-STEPS-001</x:v>
      </x:c>
      <x:c r="B194" s="28" t="str">
        <x:v>H</x:v>
      </x:c>
      <x:c r="C194" s="28" t="str">
        <x:v>evaluation_rule</x:v>
      </x:c>
      <x:c r="D194" s="28" t="str">
        <x:v>执行步骤必须按结构锚点到细节收敛</x:v>
      </x:c>
      <x:c r="E194" s="28" t="str">
        <x:v>quality_criterion</x:v>
      </x:c>
      <x:c r="F194" s="28" t="str">
        <x:v>DM01_wall_hanging_rail_execution</x:v>
      </x:c>
      <x:c r="G194" s="28" t="str">
        <x:v>review_candidate</x:v>
      </x:c>
      <x:c r="H194" s="28" t="str">
        <x:v>batch_6_display</x:v>
      </x:c>
      <x:c r="I194" s="28" t="str">
        <x:v>PRJ-ADR-018; PRJ-D005-GOLD-V03</x:v>
      </x:c>
      <x:c r="J194" s="28" t="str">
        <x:v>DM-GOLD-001</x:v>
      </x:c>
      <x:c r="K194" s="28" t="str"/>
      <x:c r="L194" s="28" t="str">
        <x:v>diyu_global_asset_v0.2</x:v>
      </x:c>
      <x:c r="M194" s="28" t="str">
        <x:v>create_review_candidate</x:v>
      </x:c>
    </x:row>
    <x:row r="195">
      <x:c r="A195" s="28" t="str">
        <x:v>H-DM-SUB-001</x:v>
      </x:c>
      <x:c r="B195" s="28" t="str">
        <x:v>H</x:v>
      </x:c>
      <x:c r="C195" s="28" t="str">
        <x:v>evaluation_rule</x:v>
      </x:c>
      <x:c r="D195" s="28" t="str">
        <x:v>替代顺序必须忠实库存并保护原职责</x:v>
      </x:c>
      <x:c r="E195" s="28" t="str">
        <x:v>quality_criterion</x:v>
      </x:c>
      <x:c r="F195" s="28" t="str">
        <x:v>DM01_wall_hanging_rail_execution</x:v>
      </x:c>
      <x:c r="G195" s="28" t="str">
        <x:v>review_candidate</x:v>
      </x:c>
      <x:c r="H195" s="28" t="str">
        <x:v>batch_6_display</x:v>
      </x:c>
      <x:c r="I195" s="28" t="str">
        <x:v>PRJ-ADR-018; PRJ-D005-GOLD-V03</x:v>
      </x:c>
      <x:c r="J195" s="28" t="str">
        <x:v>DM-V04; DM-V14; DM-V15</x:v>
      </x:c>
      <x:c r="K195" s="28" t="str"/>
      <x:c r="L195" s="28" t="str">
        <x:v>diyu_global_asset_v0.2</x:v>
      </x:c>
      <x:c r="M195" s="28" t="str">
        <x:v>create_review_candidate</x:v>
      </x:c>
    </x:row>
    <x:row r="196">
      <x:c r="A196" s="28" t="str">
        <x:v>H-GLOBAL-ACTUALITY-001</x:v>
      </x:c>
      <x:c r="B196" s="28" t="str">
        <x:v>H</x:v>
      </x:c>
      <x:c r="C196" s="28" t="str">
        <x:v>evaluation_rule</x:v>
      </x:c>
      <x:c r="D196" s="28" t="str">
        <x:v>媒体实际性诚实</x:v>
      </x:c>
      <x:c r="E196" s="28" t="str">
        <x:v>hard_gate</x:v>
      </x:c>
      <x:c r="F196" s="28" t="str">
        <x:v>P1_dressing_decision; P2_product_truth; P3_brand_life_narrative; P4_local_response; P5_visual_styling_story</x:v>
      </x:c>
      <x:c r="G196" s="28" t="str">
        <x:v>review_candidate</x:v>
      </x:c>
      <x:c r="H196" s="28" t="str">
        <x:v>batch_5_h</x:v>
      </x:c>
      <x:c r="I196" s="28" t="str">
        <x:v>PRJ-ADR-002; PRJ-ADR-014; PRJ-ADR-008; PRJ-ADR-009</x:v>
      </x:c>
      <x:c r="J196" s="28" t="str">
        <x:v>AB-V16; BE-V07; BE-V30</x:v>
      </x:c>
      <x:c r="K196" s="28" t="str"/>
      <x:c r="L196" s="28" t="str">
        <x:v>diyu_global_asset_v0.2</x:v>
      </x:c>
      <x:c r="M196" s="28" t="str">
        <x:v>create_review_candidate</x:v>
      </x:c>
    </x:row>
    <x:row r="197">
      <x:c r="A197" s="28" t="str">
        <x:v>H-GLOBAL-APP-001</x:v>
      </x:c>
      <x:c r="B197" s="28" t="str">
        <x:v>H</x:v>
      </x:c>
      <x:c r="C197" s="28" t="str">
        <x:v>evaluation_rule</x:v>
      </x:c>
      <x:c r="D197" s="28" t="str">
        <x:v>对外内容与对内陈列应用边界</x:v>
      </x:c>
      <x:c r="E197" s="28" t="str">
        <x:v>hard_gate</x:v>
      </x:c>
      <x:c r="F197" s="28" t="str">
        <x:v>P1_dressing_decision; P2_product_truth; P3_brand_life_narrative; P4_local_response; P5_visual_styling_story</x:v>
      </x:c>
      <x:c r="G197" s="28" t="str">
        <x:v>review_candidate</x:v>
      </x:c>
      <x:c r="H197" s="28" t="str">
        <x:v>batch_5_h</x:v>
      </x:c>
      <x:c r="I197" s="28" t="str">
        <x:v>PRJ-ADR-002; PRJ-ADR-014</x:v>
      </x:c>
      <x:c r="J197" s="28" t="str">
        <x:v>AB-V15; BE-V06; H-V02</x:v>
      </x:c>
      <x:c r="K197" s="28" t="str"/>
      <x:c r="L197" s="28" t="str">
        <x:v>diyu_global_asset_v0.2</x:v>
      </x:c>
      <x:c r="M197" s="28" t="str">
        <x:v>create_review_candidate</x:v>
      </x:c>
    </x:row>
    <x:row r="198">
      <x:c r="A198" s="28" t="str">
        <x:v>H-GLOBAL-AUTH-001</x:v>
      </x:c>
      <x:c r="B198" s="28" t="str">
        <x:v>H</x:v>
      </x:c>
      <x:c r="C198" s="28" t="str">
        <x:v>evaluation_rule</x:v>
      </x:c>
      <x:c r="D198" s="28" t="str">
        <x:v>账号与发布账号操作授权</x:v>
      </x:c>
      <x:c r="E198" s="28" t="str">
        <x:v>hard_gate</x:v>
      </x:c>
      <x:c r="F198" s="28" t="str">
        <x:v>P1_dressing_decision; P2_product_truth; P3_brand_life_narrative; P4_local_response; P5_visual_styling_story</x:v>
      </x:c>
      <x:c r="G198" s="28" t="str">
        <x:v>review_candidate</x:v>
      </x:c>
      <x:c r="H198" s="28" t="str">
        <x:v>batch_5_h</x:v>
      </x:c>
      <x:c r="I198" s="28" t="str">
        <x:v>PRJ-ADR-005; PRJ-ADR-014; PRJ-ADR-010</x:v>
      </x:c>
      <x:c r="J198" s="28" t="str">
        <x:v>H-V01</x:v>
      </x:c>
      <x:c r="K198" s="28" t="str"/>
      <x:c r="L198" s="28" t="str">
        <x:v>diyu_global_asset_v0.2</x:v>
      </x:c>
      <x:c r="M198" s="28" t="str">
        <x:v>create_review_candidate</x:v>
      </x:c>
    </x:row>
    <x:row r="199">
      <x:c r="A199" s="28" t="str">
        <x:v>H-GLOBAL-BRAND-001</x:v>
      </x:c>
      <x:c r="B199" s="28" t="str">
        <x:v>H</x:v>
      </x:c>
      <x:c r="C199" s="28" t="str">
        <x:v>evaluation_rule</x:v>
      </x:c>
      <x:c r="D199" s="28" t="str">
        <x:v>品牌实质相关</x:v>
      </x:c>
      <x:c r="E199" s="28" t="str">
        <x:v>hard_gate</x:v>
      </x:c>
      <x:c r="F199" s="28" t="str">
        <x:v>P1_dressing_decision; P2_product_truth; P3_brand_life_narrative; P4_local_response; P5_visual_styling_story</x:v>
      </x:c>
      <x:c r="G199" s="28" t="str">
        <x:v>review_candidate</x:v>
      </x:c>
      <x:c r="H199" s="28" t="str">
        <x:v>batch_5_h</x:v>
      </x:c>
      <x:c r="I199" s="28" t="str">
        <x:v>PRJ-ADR-013; PRJ-ADR-014; PRJ-MOTHER-V03</x:v>
      </x:c>
      <x:c r="J199" s="28" t="str">
        <x:v>CDF-V15; BE-V12; H-V07</x:v>
      </x:c>
      <x:c r="K199" s="28" t="str"/>
      <x:c r="L199" s="28" t="str">
        <x:v>diyu_global_asset_v0.2</x:v>
      </x:c>
      <x:c r="M199" s="28" t="str">
        <x:v>create_review_candidate</x:v>
      </x:c>
    </x:row>
    <x:row r="200">
      <x:c r="A200" s="28" t="str">
        <x:v>H-GLOBAL-CTA-001</x:v>
      </x:c>
      <x:c r="B200" s="28" t="str">
        <x:v>H</x:v>
      </x:c>
      <x:c r="C200" s="28" t="str">
        <x:v>evaluation_rule</x:v>
      </x:c>
      <x:c r="D200" s="28" t="str">
        <x:v>商业动作与事实声明分别约束</x:v>
      </x:c>
      <x:c r="E200" s="28" t="str">
        <x:v>hard_gate</x:v>
      </x:c>
      <x:c r="F200" s="28" t="str">
        <x:v>P1_dressing_decision; P2_product_truth; P3_brand_life_narrative; P4_local_response; P5_visual_styling_story</x:v>
      </x:c>
      <x:c r="G200" s="28" t="str">
        <x:v>review_candidate</x:v>
      </x:c>
      <x:c r="H200" s="28" t="str">
        <x:v>batch_5_h</x:v>
      </x:c>
      <x:c r="I200" s="28" t="str">
        <x:v>PRJ-ADR-014; PRJ-ADR-007; PRJ-ADR-006</x:v>
      </x:c>
      <x:c r="J200" s="28" t="str">
        <x:v>H-V10</x:v>
      </x:c>
      <x:c r="K200" s="28" t="str"/>
      <x:c r="L200" s="28" t="str">
        <x:v>diyu_global_asset_v0.2</x:v>
      </x:c>
      <x:c r="M200" s="28" t="str">
        <x:v>create_review_candidate</x:v>
      </x:c>
    </x:row>
    <x:row r="201">
      <x:c r="A201" s="28" t="str">
        <x:v>H-GLOBAL-FACT-001</x:v>
      </x:c>
      <x:c r="B201" s="28" t="str">
        <x:v>H</x:v>
      </x:c>
      <x:c r="C201" s="28" t="str">
        <x:v>evaluation_rule</x:v>
      </x:c>
      <x:c r="D201" s="28" t="str">
        <x:v>品牌与商品事实忠实</x:v>
      </x:c>
      <x:c r="E201" s="28" t="str">
        <x:v>hard_gate</x:v>
      </x:c>
      <x:c r="F201" s="28" t="str">
        <x:v>P1_dressing_decision; P2_product_truth; P3_brand_life_narrative; P4_local_response; P5_visual_styling_story</x:v>
      </x:c>
      <x:c r="G201" s="28" t="str">
        <x:v>review_candidate</x:v>
      </x:c>
      <x:c r="H201" s="28" t="str">
        <x:v>batch_5_h</x:v>
      </x:c>
      <x:c r="I201" s="28" t="str">
        <x:v>PRJ-ADR-006; PRJ-ADR-014; PRJ-ADR-013</x:v>
      </x:c>
      <x:c r="J201" s="28" t="str">
        <x:v>AB-V03; AB-V06; AB-V11; H-V04</x:v>
      </x:c>
      <x:c r="K201" s="28" t="str"/>
      <x:c r="L201" s="28" t="str">
        <x:v>diyu_global_asset_v0.2</x:v>
      </x:c>
      <x:c r="M201" s="28" t="str">
        <x:v>create_review_candidate</x:v>
      </x:c>
    </x:row>
    <x:row r="202">
      <x:c r="A202" s="28" t="str">
        <x:v>H-GLOBAL-GAIN-001</x:v>
      </x:c>
      <x:c r="B202" s="28" t="str">
        <x:v>H</x:v>
      </x:c>
      <x:c r="C202" s="28" t="str">
        <x:v>evaluation_rule</x:v>
      </x:c>
      <x:c r="D202" s="28" t="str">
        <x:v>有效增益而非复述</x:v>
      </x:c>
      <x:c r="E202" s="28" t="str">
        <x:v>quality_criterion</x:v>
      </x:c>
      <x:c r="F202" s="28" t="str">
        <x:v>P1_dressing_decision; P2_product_truth; P3_brand_life_narrative; P4_local_response; P5_visual_styling_story</x:v>
      </x:c>
      <x:c r="G202" s="28" t="str">
        <x:v>review_candidate</x:v>
      </x:c>
      <x:c r="H202" s="28" t="str">
        <x:v>batch_5_h</x:v>
      </x:c>
      <x:c r="I202" s="28" t="str">
        <x:v>PRJ-ADR-014; PRJ-MOTHER-V03</x:v>
      </x:c>
      <x:c r="J202" s="28" t="str">
        <x:v>H-V07</x:v>
      </x:c>
      <x:c r="K202" s="28" t="str"/>
      <x:c r="L202" s="28" t="str">
        <x:v>diyu_global_asset_v0.2</x:v>
      </x:c>
      <x:c r="M202" s="28" t="str">
        <x:v>create_review_candidate</x:v>
      </x:c>
    </x:row>
    <x:row r="203">
      <x:c r="A203" s="28" t="str">
        <x:v>H-GLOBAL-HARDNESS-001</x:v>
      </x:c>
      <x:c r="B203" s="28" t="str">
        <x:v>H</x:v>
      </x:c>
      <x:c r="C203" s="28" t="str">
        <x:v>evaluation_rule</x:v>
      </x:c>
      <x:c r="D203" s="28" t="str">
        <x:v>领域知识硬度表达正确</x:v>
      </x:c>
      <x:c r="E203" s="28" t="str">
        <x:v>hard_gate</x:v>
      </x:c>
      <x:c r="F203" s="28" t="str">
        <x:v>P1_dressing_decision; P2_product_truth; P3_brand_life_narrative; P4_local_response; P5_visual_styling_story</x:v>
      </x:c>
      <x:c r="G203" s="28" t="str">
        <x:v>review_candidate</x:v>
      </x:c>
      <x:c r="H203" s="28" t="str">
        <x:v>batch_5_h</x:v>
      </x:c>
      <x:c r="I203" s="28" t="str">
        <x:v>PRJ-ADR-001; PRJ-MEMORY; PRJ-ADR-014</x:v>
      </x:c>
      <x:c r="J203" s="28" t="str">
        <x:v>AB-V01; AB-V02; AB-V07; CDF-V11; H-V08</x:v>
      </x:c>
      <x:c r="K203" s="28" t="str"/>
      <x:c r="L203" s="28" t="str">
        <x:v>diyu_global_asset_v0.2</x:v>
      </x:c>
      <x:c r="M203" s="28" t="str">
        <x:v>create_review_candidate</x:v>
      </x:c>
    </x:row>
    <x:row r="204">
      <x:c r="A204" s="28" t="str">
        <x:v>H-GLOBAL-MAKE-001</x:v>
      </x:c>
      <x:c r="B204" s="28" t="str">
        <x:v>H</x:v>
      </x:c>
      <x:c r="C204" s="28" t="str">
        <x:v>evaluation_rule</x:v>
      </x:c>
      <x:c r="D204" s="28" t="str">
        <x:v>当前制作条件下可用或可制作</x:v>
      </x:c>
      <x:c r="E204" s="28" t="str">
        <x:v>quality_criterion</x:v>
      </x:c>
      <x:c r="F204" s="28" t="str">
        <x:v>P1_dressing_decision; P2_product_truth; P3_brand_life_narrative; P4_local_response; P5_visual_styling_story</x:v>
      </x:c>
      <x:c r="G204" s="28" t="str">
        <x:v>review_candidate</x:v>
      </x:c>
      <x:c r="H204" s="28" t="str">
        <x:v>batch_5_h</x:v>
      </x:c>
      <x:c r="I204" s="28" t="str">
        <x:v>PRJ-ADR-014; PRJ-P5-CLOSE-20260721; PRJ-D032-BOUNDARY</x:v>
      </x:c>
      <x:c r="J204" s="28" t="str">
        <x:v>BE-V14; BE-V16; BE-V18; BE-V19</x:v>
      </x:c>
      <x:c r="K204" s="28" t="str"/>
      <x:c r="L204" s="28" t="str">
        <x:v>diyu_global_asset_v0.2</x:v>
      </x:c>
      <x:c r="M204" s="28" t="str">
        <x:v>create_review_candidate</x:v>
      </x:c>
    </x:row>
    <x:row r="205">
      <x:c r="A205" s="28" t="str">
        <x:v>H-GLOBAL-OPERATING-001</x:v>
      </x:c>
      <x:c r="B205" s="28" t="str">
        <x:v>H</x:v>
      </x:c>
      <x:c r="C205" s="28" t="str">
        <x:v>evaluation_rule</x:v>
      </x:c>
      <x:c r="D205" s="28" t="str">
        <x:v>人工经营输入忠实且不做真值裁决</x:v>
      </x:c>
      <x:c r="E205" s="28" t="str">
        <x:v>hard_gate</x:v>
      </x:c>
      <x:c r="F205" s="28" t="str">
        <x:v>P1_dressing_decision; P2_product_truth; P3_brand_life_narrative; P4_local_response; P5_visual_styling_story</x:v>
      </x:c>
      <x:c r="G205" s="28" t="str">
        <x:v>review_candidate</x:v>
      </x:c>
      <x:c r="H205" s="28" t="str">
        <x:v>batch_5_h</x:v>
      </x:c>
      <x:c r="I205" s="28" t="str">
        <x:v>PRJ-ADR-007; PRJ-ADR-014; PRJ-ADR-006</x:v>
      </x:c>
      <x:c r="J205" s="28" t="str">
        <x:v>H-V05</x:v>
      </x:c>
      <x:c r="K205" s="28" t="str"/>
      <x:c r="L205" s="28" t="str">
        <x:v>diyu_global_asset_v0.2</x:v>
      </x:c>
      <x:c r="M205" s="28" t="str">
        <x:v>create_review_candidate</x:v>
      </x:c>
    </x:row>
    <x:row r="206">
      <x:c r="A206" s="28" t="str">
        <x:v>H-GLOBAL-OUTPUT-001</x:v>
      </x:c>
      <x:c r="B206" s="28" t="str">
        <x:v>H</x:v>
      </x:c>
      <x:c r="C206" s="28" t="str">
        <x:v>evaluation_rule</x:v>
      </x:c>
      <x:c r="D206" s="28" t="str">
        <x:v>只向用户交付完整成品</x:v>
      </x:c>
      <x:c r="E206" s="28" t="str">
        <x:v>quality_criterion</x:v>
      </x:c>
      <x:c r="F206" s="28" t="str">
        <x:v>P1_dressing_decision; P2_product_truth; P3_brand_life_narrative; P4_local_response; P5_visual_styling_story</x:v>
      </x:c>
      <x:c r="G206" s="28" t="str">
        <x:v>review_candidate</x:v>
      </x:c>
      <x:c r="H206" s="28" t="str">
        <x:v>batch_5_h</x:v>
      </x:c>
      <x:c r="I206" s="28" t="str">
        <x:v>PRJ-ADR-014; PRJ-ADR-010</x:v>
      </x:c>
      <x:c r="J206" s="28" t="str">
        <x:v>H-V09</x:v>
      </x:c>
      <x:c r="K206" s="28" t="str"/>
      <x:c r="L206" s="28" t="str">
        <x:v>diyu_global_asset_v0.2</x:v>
      </x:c>
      <x:c r="M206" s="28" t="str">
        <x:v>create_review_candidate</x:v>
      </x:c>
    </x:row>
    <x:row r="207">
      <x:c r="A207" s="28" t="str">
        <x:v>H-GLOBAL-PEOPLE-001</x:v>
      </x:c>
      <x:c r="B207" s="28" t="str">
        <x:v>H</x:v>
      </x:c>
      <x:c r="C207" s="28" t="str">
        <x:v>evaluation_rule</x:v>
      </x:c>
      <x:c r="D207" s="28" t="str">
        <x:v>不以身体、年龄、家庭、职业或城市标签制造绝对判断</x:v>
      </x:c>
      <x:c r="E207" s="28" t="str">
        <x:v>hard_gate</x:v>
      </x:c>
      <x:c r="F207" s="28" t="str">
        <x:v>P1_dressing_decision; P2_product_truth; P3_brand_life_narrative; P4_local_response; P5_visual_styling_story</x:v>
      </x:c>
      <x:c r="G207" s="28" t="str">
        <x:v>review_candidate</x:v>
      </x:c>
      <x:c r="H207" s="28" t="str">
        <x:v>batch_5_h</x:v>
      </x:c>
      <x:c r="I207" s="28" t="str">
        <x:v>PRJ-MEMORY; PRJ-MOTHER-V03; PRJ-ADR-014</x:v>
      </x:c>
      <x:c r="J207" s="28" t="str">
        <x:v>AB-V07; CDF-V03; CDF-V04; CDF-V06</x:v>
      </x:c>
      <x:c r="K207" s="28" t="str"/>
      <x:c r="L207" s="28" t="str">
        <x:v>diyu_global_asset_v0.2</x:v>
      </x:c>
      <x:c r="M207" s="28" t="str">
        <x:v>create_review_candidate</x:v>
      </x:c>
    </x:row>
    <x:row r="208">
      <x:c r="A208" s="28" t="str">
        <x:v>H-GLOBAL-PREMISE-001</x:v>
      </x:c>
      <x:c r="B208" s="28" t="str">
        <x:v>H</x:v>
      </x:c>
      <x:c r="C208" s="28" t="str">
        <x:v>evaluation_rule</x:v>
      </x:c>
      <x:c r="D208" s="28" t="str">
        <x:v>用户承重前提忠实</x:v>
      </x:c>
      <x:c r="E208" s="28" t="str">
        <x:v>hard_gate</x:v>
      </x:c>
      <x:c r="F208" s="28" t="str">
        <x:v>P1_dressing_decision; P2_product_truth; P3_brand_life_narrative; P4_local_response; P5_visual_styling_story</x:v>
      </x:c>
      <x:c r="G208" s="28" t="str">
        <x:v>review_candidate</x:v>
      </x:c>
      <x:c r="H208" s="28" t="str">
        <x:v>batch_5_h</x:v>
      </x:c>
      <x:c r="I208" s="28" t="str">
        <x:v>PRJ-ADR-014; PRJ-ADR-006</x:v>
      </x:c>
      <x:c r="J208" s="28" t="str">
        <x:v>CDF-V19; CDF-V20; H-V04</x:v>
      </x:c>
      <x:c r="K208" s="28" t="str"/>
      <x:c r="L208" s="28" t="str">
        <x:v>diyu_global_asset_v0.2</x:v>
      </x:c>
      <x:c r="M208" s="28" t="str">
        <x:v>create_review_candidate</x:v>
      </x:c>
    </x:row>
    <x:row r="209">
      <x:c r="A209" s="28" t="str">
        <x:v>H-GLOBAL-ROLE-001</x:v>
      </x:c>
      <x:c r="B209" s="28" t="str">
        <x:v>H</x:v>
      </x:c>
      <x:c r="C209" s="28" t="str">
        <x:v>evaluation_rule</x:v>
      </x:c>
      <x:c r="D209" s="28" t="str">
        <x:v>发布账号与内容角色表达位置匹配</x:v>
      </x:c>
      <x:c r="E209" s="28" t="str">
        <x:v>quality_criterion</x:v>
      </x:c>
      <x:c r="F209" s="28" t="str">
        <x:v>P1_dressing_decision; P2_product_truth; P3_brand_life_narrative; P4_local_response; P5_visual_styling_story</x:v>
      </x:c>
      <x:c r="G209" s="28" t="str">
        <x:v>review_candidate</x:v>
      </x:c>
      <x:c r="H209" s="28" t="str">
        <x:v>batch_5_h</x:v>
      </x:c>
      <x:c r="I209" s="28" t="str">
        <x:v>PRJ-ADR-005; PRJ-STRATEGY-V1; PRJ-MOTHER-V03</x:v>
      </x:c>
      <x:c r="J209" s="28" t="str">
        <x:v>CDF-V23; CDF-V24; H-V06</x:v>
      </x:c>
      <x:c r="K209" s="28" t="str"/>
      <x:c r="L209" s="28" t="str">
        <x:v>diyu_global_asset_v0.2</x:v>
      </x:c>
      <x:c r="M209" s="28" t="str">
        <x:v>create_review_candidate</x:v>
      </x:c>
    </x:row>
    <x:row r="210">
      <x:c r="A210" s="28" t="str">
        <x:v>H-GLOBAL-ROUTE-001</x:v>
      </x:c>
      <x:c r="B210" s="28" t="str">
        <x:v>H</x:v>
      </x:c>
      <x:c r="C210" s="28" t="str">
        <x:v>evaluation_rule</x:v>
      </x:c>
      <x:c r="D210" s="28" t="str">
        <x:v>一个独立成品只执行一个主要产品合同</x:v>
      </x:c>
      <x:c r="E210" s="28" t="str">
        <x:v>hard_gate</x:v>
      </x:c>
      <x:c r="F210" s="28" t="str">
        <x:v>P1_dressing_decision; P2_product_truth; P3_brand_life_narrative; P4_local_response; P5_visual_styling_story</x:v>
      </x:c>
      <x:c r="G210" s="28" t="str">
        <x:v>review_candidate</x:v>
      </x:c>
      <x:c r="H210" s="28" t="str">
        <x:v>batch_5_h</x:v>
      </x:c>
      <x:c r="I210" s="28" t="str">
        <x:v>PRJ-ADR-013; PRJ-ADR-014</x:v>
      </x:c>
      <x:c r="J210" s="28" t="str">
        <x:v>BE-V15; H-V03</x:v>
      </x:c>
      <x:c r="K210" s="28" t="str"/>
      <x:c r="L210" s="28" t="str">
        <x:v>diyu_global_asset_v0.2</x:v>
      </x:c>
      <x:c r="M210" s="28" t="str">
        <x:v>create_review_candidate</x:v>
      </x:c>
    </x:row>
    <x:row r="211">
      <x:c r="A211" s="28" t="str">
        <x:v>H-GLOBAL-TASK-001</x:v>
      </x:c>
      <x:c r="B211" s="28" t="str">
        <x:v>H</x:v>
      </x:c>
      <x:c r="C211" s="28" t="str">
        <x:v>evaluation_rule</x:v>
      </x:c>
      <x:c r="D211" s="28" t="str">
        <x:v>主要产品价值必须完整兑现</x:v>
      </x:c>
      <x:c r="E211" s="28" t="str">
        <x:v>hard_gate</x:v>
      </x:c>
      <x:c r="F211" s="28" t="str">
        <x:v>P1_dressing_decision; P2_product_truth; P3_brand_life_narrative; P4_local_response; P5_visual_styling_story</x:v>
      </x:c>
      <x:c r="G211" s="28" t="str">
        <x:v>review_candidate</x:v>
      </x:c>
      <x:c r="H211" s="28" t="str">
        <x:v>batch_5_h</x:v>
      </x:c>
      <x:c r="I211" s="28" t="str">
        <x:v>PRJ-ADR-013; PRJ-ADR-014; PRJ-MOTHER-V03</x:v>
      </x:c>
      <x:c r="J211" s="28" t="str">
        <x:v>BE-V15; H-V03</x:v>
      </x:c>
      <x:c r="K211" s="28" t="str"/>
      <x:c r="L211" s="28" t="str">
        <x:v>diyu_global_asset_v0.2</x:v>
      </x:c>
      <x:c r="M211" s="28" t="str">
        <x:v>create_review_candidate</x:v>
      </x:c>
    </x:row>
    <x:row r="212">
      <x:c r="A212" s="28" t="str">
        <x:v>H-GLOBAL-TEMPLATE-001</x:v>
      </x:c>
      <x:c r="B212" s="28" t="str">
        <x:v>H</x:v>
      </x:c>
      <x:c r="C212" s="28" t="str">
        <x:v>evaluation_rule</x:v>
      </x:c>
      <x:c r="D212" s="28" t="str">
        <x:v>明显模板化与 AI 口水化必须后台改写</x:v>
      </x:c>
      <x:c r="E212" s="28" t="str">
        <x:v>quality_criterion</x:v>
      </x:c>
      <x:c r="F212" s="28" t="str">
        <x:v>P1_dressing_decision; P2_product_truth; P3_brand_life_narrative; P4_local_response; P5_visual_styling_story</x:v>
      </x:c>
      <x:c r="G212" s="28" t="str">
        <x:v>review_candidate</x:v>
      </x:c>
      <x:c r="H212" s="28" t="str">
        <x:v>batch_5_h</x:v>
      </x:c>
      <x:c r="I212" s="28" t="str">
        <x:v>PRJ-ADR-014; PRJ-MOTHER-V03</x:v>
      </x:c>
      <x:c r="J212" s="28" t="str">
        <x:v>CDF-V22; CDF-V25; BE-V12</x:v>
      </x:c>
      <x:c r="K212" s="28" t="str"/>
      <x:c r="L212" s="28" t="str">
        <x:v>diyu_global_asset_v0.2</x:v>
      </x:c>
      <x:c r="M212" s="28" t="str">
        <x:v>create_review_candidate</x:v>
      </x:c>
    </x:row>
    <x:row r="213">
      <x:c r="A213" s="28" t="str">
        <x:v>H-GLOBAL-TENANT-001</x:v>
      </x:c>
      <x:c r="B213" s="28" t="str">
        <x:v>H</x:v>
      </x:c>
      <x:c r="C213" s="28" t="str">
        <x:v>evaluation_rule</x:v>
      </x:c>
      <x:c r="D213" s="28" t="str">
        <x:v>租户、品牌与工作区隔离</x:v>
      </x:c>
      <x:c r="E213" s="28" t="str">
        <x:v>hard_gate</x:v>
      </x:c>
      <x:c r="F213" s="28" t="str">
        <x:v>P1_dressing_decision; P2_product_truth; P3_brand_life_narrative; P4_local_response; P5_visual_styling_story</x:v>
      </x:c>
      <x:c r="G213" s="28" t="str">
        <x:v>review_candidate</x:v>
      </x:c>
      <x:c r="H213" s="28" t="str">
        <x:v>batch_5_h</x:v>
      </x:c>
      <x:c r="I213" s="28" t="str">
        <x:v>PRJ-ADR-001; PRJ-ADR-008; PRJ-ADR-009; PRJ-ADR-010</x:v>
      </x:c>
      <x:c r="J213" s="28" t="str">
        <x:v>H-V01</x:v>
      </x:c>
      <x:c r="K213" s="28" t="str"/>
      <x:c r="L213" s="28" t="str">
        <x:v>diyu_global_asset_v0.2</x:v>
      </x:c>
      <x:c r="M213" s="28" t="str">
        <x:v>create_review_candidate</x:v>
      </x:c>
    </x:row>
    <x:row r="214">
      <x:c r="A214" s="28" t="str">
        <x:v>H-MAT-BRAND-001</x:v>
      </x:c>
      <x:c r="B214" s="28" t="str">
        <x:v>H</x:v>
      </x:c>
      <x:c r="C214" s="28" t="str">
        <x:v>evaluation_rule</x:v>
      </x:c>
      <x:c r="D214" s="28" t="str">
        <x:v>跨多篇去标识品牌可识别度</x:v>
      </x:c>
      <x:c r="E214" s="28" t="str">
        <x:v>maturity_indicator</x:v>
      </x:c>
      <x:c r="F214" s="28" t="str">
        <x:v>P1_dressing_decision; P2_product_truth; P3_brand_life_narrative; P4_local_response; P5_visual_styling_story</x:v>
      </x:c>
      <x:c r="G214" s="28" t="str">
        <x:v>review_candidate</x:v>
      </x:c>
      <x:c r="H214" s="28" t="str">
        <x:v>batch_5_h</x:v>
      </x:c>
      <x:c r="I214" s="28" t="str">
        <x:v>PRJ-MOTHER-V03; PRJ-P5-CLOSE-20260721</x:v>
      </x:c>
      <x:c r="J214" s="28" t="str"/>
      <x:c r="K214" s="28" t="str"/>
      <x:c r="L214" s="28" t="str">
        <x:v>diyu_global_asset_v0.2</x:v>
      </x:c>
      <x:c r="M214" s="28" t="str">
        <x:v>create_review_candidate</x:v>
      </x:c>
    </x:row>
    <x:row r="215">
      <x:c r="A215" s="28" t="str">
        <x:v>H-MAT-CONTINUITY-001</x:v>
      </x:c>
      <x:c r="B215" s="28" t="str">
        <x:v>H</x:v>
      </x:c>
      <x:c r="C215" s="28" t="str">
        <x:v>evaluation_rule</x:v>
      </x:c>
      <x:c r="D215" s="28" t="str">
        <x:v>账号与系列连续但不重复</x:v>
      </x:c>
      <x:c r="E215" s="28" t="str">
        <x:v>maturity_indicator</x:v>
      </x:c>
      <x:c r="F215" s="28" t="str">
        <x:v>P3_brand_life_narrative; P4_local_response; P5_visual_styling_story; P1_dressing_decision; P2_product_truth</x:v>
      </x:c>
      <x:c r="G215" s="28" t="str">
        <x:v>review_candidate</x:v>
      </x:c>
      <x:c r="H215" s="28" t="str">
        <x:v>batch_5_h</x:v>
      </x:c>
      <x:c r="I215" s="28" t="str">
        <x:v>PRJ-ADR-014; PRJ-ADR-010</x:v>
      </x:c>
      <x:c r="J215" s="28" t="str"/>
      <x:c r="K215" s="28" t="str"/>
      <x:c r="L215" s="28" t="str">
        <x:v>diyu_global_asset_v0.2</x:v>
      </x:c>
      <x:c r="M215" s="28" t="str">
        <x:v>create_review_candidate</x:v>
      </x:c>
    </x:row>
    <x:row r="216">
      <x:c r="A216" s="28" t="str">
        <x:v>H-MAT-VISUAL-001</x:v>
      </x:c>
      <x:c r="B216" s="28" t="str">
        <x:v>H</x:v>
      </x:c>
      <x:c r="C216" s="28" t="str">
        <x:v>evaluation_rule</x:v>
      </x:c>
      <x:c r="D216" s="28" t="str">
        <x:v>跨期视觉母语稳定度</x:v>
      </x:c>
      <x:c r="E216" s="28" t="str">
        <x:v>maturity_indicator</x:v>
      </x:c>
      <x:c r="F216" s="28" t="str">
        <x:v>P5_visual_styling_story; P3_brand_life_narrative; P4_local_response</x:v>
      </x:c>
      <x:c r="G216" s="28" t="str">
        <x:v>review_candidate</x:v>
      </x:c>
      <x:c r="H216" s="28" t="str">
        <x:v>batch_5_h</x:v>
      </x:c>
      <x:c r="I216" s="28" t="str">
        <x:v>PRJ-P5-CLOSE-20260721; PRJ-STRATEGY-V1</x:v>
      </x:c>
      <x:c r="J216" s="28" t="str"/>
      <x:c r="K216" s="28" t="str"/>
      <x:c r="L216" s="28" t="str">
        <x:v>diyu_global_asset_v0.2</x:v>
      </x:c>
      <x:c r="M216" s="28" t="str">
        <x:v>create_review_candidate</x:v>
      </x:c>
    </x:row>
    <x:row r="217">
      <x:c r="A217" s="28" t="str">
        <x:v>H-OFF-ACCOUNT-001</x:v>
      </x:c>
      <x:c r="B217" s="28" t="str">
        <x:v>H</x:v>
      </x:c>
      <x:c r="C217" s="28" t="str">
        <x:v>evaluation_rule</x:v>
      </x:c>
      <x:c r="D217" s="28" t="str">
        <x:v>换发布账号/内容角色反事实</x:v>
      </x:c>
      <x:c r="E217" s="28" t="str">
        <x:v>offline_test</x:v>
      </x:c>
      <x:c r="F217" s="28" t="str">
        <x:v>P1_dressing_decision; P2_product_truth; P3_brand_life_narrative; P4_local_response; P5_visual_styling_story</x:v>
      </x:c>
      <x:c r="G217" s="28" t="str">
        <x:v>review_candidate</x:v>
      </x:c>
      <x:c r="H217" s="28" t="str">
        <x:v>batch_5_h</x:v>
      </x:c>
      <x:c r="I217" s="28" t="str">
        <x:v>PRJ-ADR-005; PRJ-ADR-014; PRJ-STRATEGY-V1</x:v>
      </x:c>
      <x:c r="J217" s="28" t="str">
        <x:v>CDF-V23; CDF-V24</x:v>
      </x:c>
      <x:c r="K217" s="28" t="str"/>
      <x:c r="L217" s="28" t="str">
        <x:v>diyu_global_asset_v0.2</x:v>
      </x:c>
      <x:c r="M217" s="28" t="str">
        <x:v>create_review_candidate</x:v>
      </x:c>
    </x:row>
    <x:row r="218">
      <x:c r="A218" s="28" t="str">
        <x:v>H-OFF-BRAND-001</x:v>
      </x:c>
      <x:c r="B218" s="28" t="str">
        <x:v>H</x:v>
      </x:c>
      <x:c r="C218" s="28" t="str">
        <x:v>evaluation_rule</x:v>
      </x:c>
      <x:c r="D218" s="28" t="str">
        <x:v>换品牌反事实敏感性</x:v>
      </x:c>
      <x:c r="E218" s="28" t="str">
        <x:v>offline_test</x:v>
      </x:c>
      <x:c r="F218" s="28" t="str">
        <x:v>P1_dressing_decision; P2_product_truth; P3_brand_life_narrative; P4_local_response; P5_visual_styling_story</x:v>
      </x:c>
      <x:c r="G218" s="28" t="str">
        <x:v>review_candidate</x:v>
      </x:c>
      <x:c r="H218" s="28" t="str">
        <x:v>batch_5_h</x:v>
      </x:c>
      <x:c r="I218" s="28" t="str">
        <x:v>PRJ-ADR-014; PRJ-ADR-013; PRJ-P5-CLOSE-20260721</x:v>
      </x:c>
      <x:c r="J218" s="28" t="str">
        <x:v>AB-V13; BE-V04</x:v>
      </x:c>
      <x:c r="K218" s="28" t="str"/>
      <x:c r="L218" s="28" t="str">
        <x:v>diyu_global_asset_v0.2</x:v>
      </x:c>
      <x:c r="M218" s="28" t="str">
        <x:v>create_review_candidate</x:v>
      </x:c>
    </x:row>
    <x:row r="219">
      <x:c r="A219" s="28" t="str">
        <x:v>H-OFF-DISTRIBUTION-001</x:v>
      </x:c>
      <x:c r="B219" s="28" t="str">
        <x:v>H</x:v>
      </x:c>
      <x:c r="C219" s="28" t="str">
        <x:v>evaluation_rule</x:v>
      </x:c>
      <x:c r="D219" s="28" t="str">
        <x:v>统一/本地化/混合分发策略检查</x:v>
      </x:c>
      <x:c r="E219" s="28" t="str">
        <x:v>offline_test</x:v>
      </x:c>
      <x:c r="F219" s="28" t="str">
        <x:v>P1_dressing_decision; P2_product_truth; P3_brand_life_narrative; P4_local_response; P5_visual_styling_story</x:v>
      </x:c>
      <x:c r="G219" s="28" t="str">
        <x:v>review_candidate</x:v>
      </x:c>
      <x:c r="H219" s="28" t="str">
        <x:v>batch_5_h</x:v>
      </x:c>
      <x:c r="I219" s="28" t="str">
        <x:v>PRJ-ADR-014; PRJ-MOTHER-V03</x:v>
      </x:c>
      <x:c r="J219" s="28" t="str">
        <x:v>H-V18</x:v>
      </x:c>
      <x:c r="K219" s="28" t="str"/>
      <x:c r="L219" s="28" t="str">
        <x:v>diyu_global_asset_v0.2</x:v>
      </x:c>
      <x:c r="M219" s="28" t="str">
        <x:v>create_review_candidate</x:v>
      </x:c>
    </x:row>
    <x:row r="220">
      <x:c r="A220" s="28" t="str">
        <x:v>H-OFF-EVENT-001</x:v>
      </x:c>
      <x:c r="B220" s="28" t="str">
        <x:v>H</x:v>
      </x:c>
      <x:c r="C220" s="28" t="str">
        <x:v>evaluation_rule</x:v>
      </x:c>
      <x:c r="D220" s="28" t="str">
        <x:v>导出不等于采用或系列更新</x:v>
      </x:c>
      <x:c r="E220" s="28" t="str">
        <x:v>offline_test</x:v>
      </x:c>
      <x:c r="F220" s="28" t="str">
        <x:v>P1_dressing_decision; P2_product_truth; P3_brand_life_narrative; P4_local_response; P5_visual_styling_story</x:v>
      </x:c>
      <x:c r="G220" s="28" t="str">
        <x:v>review_candidate</x:v>
      </x:c>
      <x:c r="H220" s="28" t="str">
        <x:v>batch_5_h</x:v>
      </x:c>
      <x:c r="I220" s="28" t="str">
        <x:v>PRJ-ADR-010; PRJ-ADR-014</x:v>
      </x:c>
      <x:c r="J220" s="28" t="str">
        <x:v>H-V15</x:v>
      </x:c>
      <x:c r="K220" s="28" t="str"/>
      <x:c r="L220" s="28" t="str">
        <x:v>diyu_global_asset_v0.2</x:v>
      </x:c>
      <x:c r="M220" s="28" t="str">
        <x:v>create_review_candidate</x:v>
      </x:c>
    </x:row>
    <x:row r="221">
      <x:c r="A221" s="28" t="str">
        <x:v>H-OFF-FEEDBACK-001</x:v>
      </x:c>
      <x:c r="B221" s="28" t="str">
        <x:v>H</x:v>
      </x:c>
      <x:c r="C221" s="28" t="str">
        <x:v>evaluation_rule</x:v>
      </x:c>
      <x:c r="D221" s="28" t="str">
        <x:v>缺少发布反馈不得门控或判负</x:v>
      </x:c>
      <x:c r="E221" s="28" t="str">
        <x:v>offline_test</x:v>
      </x:c>
      <x:c r="F221" s="28" t="str">
        <x:v>P1_dressing_decision; P2_product_truth; P3_brand_life_narrative; P4_local_response; P5_visual_styling_story</x:v>
      </x:c>
      <x:c r="G221" s="28" t="str">
        <x:v>review_candidate</x:v>
      </x:c>
      <x:c r="H221" s="28" t="str">
        <x:v>batch_5_h</x:v>
      </x:c>
      <x:c r="I221" s="28" t="str">
        <x:v>PRJ-ADR-011; PRJ-ADR-010</x:v>
      </x:c>
      <x:c r="J221" s="28" t="str">
        <x:v>H-V16</x:v>
      </x:c>
      <x:c r="K221" s="28" t="str"/>
      <x:c r="L221" s="28" t="str">
        <x:v>diyu_global_asset_v0.2</x:v>
      </x:c>
      <x:c r="M221" s="28" t="str">
        <x:v>create_review_candidate</x:v>
      </x:c>
    </x:row>
    <x:row r="222">
      <x:c r="A222" s="28" t="str">
        <x:v>H-OFF-P5-ACTUALITY-001</x:v>
      </x:c>
      <x:c r="B222" s="28" t="str">
        <x:v>H</x:v>
      </x:c>
      <x:c r="C222" s="28" t="str">
        <x:v>evaluation_rule</x:v>
      </x:c>
      <x:c r="D222" s="28" t="str">
        <x:v>P5 切换媒体实际性检查</x:v>
      </x:c>
      <x:c r="E222" s="28" t="str">
        <x:v>offline_test</x:v>
      </x:c>
      <x:c r="F222" s="28" t="str">
        <x:v>P5_visual_styling_story</x:v>
      </x:c>
      <x:c r="G222" s="28" t="str">
        <x:v>review_candidate</x:v>
      </x:c>
      <x:c r="H222" s="28" t="str">
        <x:v>batch_5_h</x:v>
      </x:c>
      <x:c r="I222" s="28" t="str">
        <x:v>PRJ-P5-CLOSE-20260721; PRJ-ADR-014</x:v>
      </x:c>
      <x:c r="J222" s="28" t="str">
        <x:v>AB-V16; BE-V07; BE-V30</x:v>
      </x:c>
      <x:c r="K222" s="28" t="str"/>
      <x:c r="L222" s="28" t="str">
        <x:v>diyu_global_asset_v0.2</x:v>
      </x:c>
      <x:c r="M222" s="28" t="str">
        <x:v>create_review_candidate</x:v>
      </x:c>
    </x:row>
    <x:row r="223">
      <x:c r="A223" s="28" t="str">
        <x:v>H-OFF-P5-DISPLAY-001</x:v>
      </x:c>
      <x:c r="B223" s="28" t="str">
        <x:v>H</x:v>
      </x:c>
      <x:c r="C223" s="28" t="str">
        <x:v>evaluation_rule</x:v>
      </x:c>
      <x:c r="D223" s="28" t="str">
        <x:v>P5 切换对内陈列检查</x:v>
      </x:c>
      <x:c r="E223" s="28" t="str">
        <x:v>offline_test</x:v>
      </x:c>
      <x:c r="F223" s="28" t="str">
        <x:v>P5_visual_styling_story</x:v>
      </x:c>
      <x:c r="G223" s="28" t="str">
        <x:v>review_candidate</x:v>
      </x:c>
      <x:c r="H223" s="28" t="str">
        <x:v>batch_5_h</x:v>
      </x:c>
      <x:c r="I223" s="28" t="str">
        <x:v>PRJ-ADR-002; PRJ-P5-CLOSE-20260721</x:v>
      </x:c>
      <x:c r="J223" s="28" t="str">
        <x:v>AB-V15; BE-V06</x:v>
      </x:c>
      <x:c r="K223" s="28" t="str"/>
      <x:c r="L223" s="28" t="str">
        <x:v>diyu_global_asset_v0.2</x:v>
      </x:c>
      <x:c r="M223" s="28" t="str">
        <x:v>create_review_candidate</x:v>
      </x:c>
    </x:row>
    <x:row r="224">
      <x:c r="A224" s="28" t="str">
        <x:v>H-OFF-P5-NOPRODUCT-001</x:v>
      </x:c>
      <x:c r="B224" s="28" t="str">
        <x:v>H</x:v>
      </x:c>
      <x:c r="C224" s="28" t="str">
        <x:v>evaluation_rule</x:v>
      </x:c>
      <x:c r="D224" s="28" t="str">
        <x:v>P5 移除真实商品检查</x:v>
      </x:c>
      <x:c r="E224" s="28" t="str">
        <x:v>offline_test</x:v>
      </x:c>
      <x:c r="F224" s="28" t="str">
        <x:v>P5_visual_styling_story</x:v>
      </x:c>
      <x:c r="G224" s="28" t="str">
        <x:v>review_candidate</x:v>
      </x:c>
      <x:c r="H224" s="28" t="str">
        <x:v>batch_5_h</x:v>
      </x:c>
      <x:c r="I224" s="28" t="str">
        <x:v>PRJ-P5-CLOSE-20260721; PRJ-ADR-013</x:v>
      </x:c>
      <x:c r="J224" s="28" t="str">
        <x:v>BE-V02</x:v>
      </x:c>
      <x:c r="K224" s="28" t="str"/>
      <x:c r="L224" s="28" t="str">
        <x:v>diyu_global_asset_v0.2</x:v>
      </x:c>
      <x:c r="M224" s="28" t="str">
        <x:v>create_review_candidate</x:v>
      </x:c>
    </x:row>
    <x:row r="225">
      <x:c r="A225" s="28" t="str">
        <x:v>H-OFF-P5-NOVISUAL-001</x:v>
      </x:c>
      <x:c r="B225" s="28" t="str">
        <x:v>H</x:v>
      </x:c>
      <x:c r="C225" s="28" t="str">
        <x:v>evaluation_rule</x:v>
      </x:c>
      <x:c r="D225" s="28" t="str">
        <x:v>P5 移除视觉承重检查</x:v>
      </x:c>
      <x:c r="E225" s="28" t="str">
        <x:v>offline_test</x:v>
      </x:c>
      <x:c r="F225" s="28" t="str">
        <x:v>P5_visual_styling_story; P3_brand_life_narrative</x:v>
      </x:c>
      <x:c r="G225" s="28" t="str">
        <x:v>review_candidate</x:v>
      </x:c>
      <x:c r="H225" s="28" t="str">
        <x:v>batch_5_h</x:v>
      </x:c>
      <x:c r="I225" s="28" t="str">
        <x:v>PRJ-P5-CLOSE-20260721</x:v>
      </x:c>
      <x:c r="J225" s="28" t="str">
        <x:v>AB-V14; BE-V05</x:v>
      </x:c>
      <x:c r="K225" s="28" t="str"/>
      <x:c r="L225" s="28" t="str">
        <x:v>diyu_global_asset_v0.2</x:v>
      </x:c>
      <x:c r="M225" s="28" t="str">
        <x:v>create_review_candidate</x:v>
      </x:c>
    </x:row>
    <x:row r="226">
      <x:c r="A226" s="28" t="str">
        <x:v>H-OFF-PREMISE-001</x:v>
      </x:c>
      <x:c r="B226" s="28" t="str">
        <x:v>H</x:v>
      </x:c>
      <x:c r="C226" s="28" t="str">
        <x:v>evaluation_rule</x:v>
      </x:c>
      <x:c r="D226" s="28" t="str">
        <x:v>换创作权限与前提不变量</x:v>
      </x:c>
      <x:c r="E226" s="28" t="str">
        <x:v>offline_test</x:v>
      </x:c>
      <x:c r="F226" s="28" t="str">
        <x:v>P1_dressing_decision; P2_product_truth; P3_brand_life_narrative; P4_local_response; P5_visual_styling_story</x:v>
      </x:c>
      <x:c r="G226" s="28" t="str">
        <x:v>review_candidate</x:v>
      </x:c>
      <x:c r="H226" s="28" t="str">
        <x:v>batch_5_h</x:v>
      </x:c>
      <x:c r="I226" s="28" t="str">
        <x:v>PRJ-ADR-014</x:v>
      </x:c>
      <x:c r="J226" s="28" t="str">
        <x:v>CDF-V19; CDF-V20</x:v>
      </x:c>
      <x:c r="K226" s="28" t="str"/>
      <x:c r="L226" s="28" t="str">
        <x:v>diyu_global_asset_v0.2</x:v>
      </x:c>
      <x:c r="M226" s="28" t="str">
        <x:v>create_review_candidate</x:v>
      </x:c>
    </x:row>
    <x:row r="227">
      <x:c r="A227" s="28" t="str">
        <x:v>H-OFF-PRODUCT-001</x:v>
      </x:c>
      <x:c r="B227" s="28" t="str">
        <x:v>H</x:v>
      </x:c>
      <x:c r="C227" s="28" t="str">
        <x:v>evaluation_rule</x:v>
      </x:c>
      <x:c r="D227" s="28" t="str">
        <x:v>换商品反事实</x:v>
      </x:c>
      <x:c r="E227" s="28" t="str">
        <x:v>offline_test</x:v>
      </x:c>
      <x:c r="F227" s="28" t="str">
        <x:v>P1_dressing_decision; P2_product_truth; P5_visual_styling_story</x:v>
      </x:c>
      <x:c r="G227" s="28" t="str">
        <x:v>review_candidate</x:v>
      </x:c>
      <x:c r="H227" s="28" t="str">
        <x:v>batch_5_h</x:v>
      </x:c>
      <x:c r="I227" s="28" t="str">
        <x:v>PRJ-ADR-013; PRJ-P5-CLOSE-20260721</x:v>
      </x:c>
      <x:c r="J227" s="28" t="str">
        <x:v>AB-V13; BE-V03</x:v>
      </x:c>
      <x:c r="K227" s="28" t="str"/>
      <x:c r="L227" s="28" t="str">
        <x:v>diyu_global_asset_v0.2</x:v>
      </x:c>
      <x:c r="M227" s="28" t="str">
        <x:v>create_review_candidate</x:v>
      </x:c>
    </x:row>
    <x:row r="228">
      <x:c r="A228" s="28" t="str">
        <x:v>H-OFF-REGION-001</x:v>
      </x:c>
      <x:c r="B228" s="28" t="str">
        <x:v>H</x:v>
      </x:c>
      <x:c r="C228" s="28" t="str">
        <x:v>evaluation_rule</x:v>
      </x:c>
      <x:c r="D228" s="28" t="str">
        <x:v>换地域反事实</x:v>
      </x:c>
      <x:c r="E228" s="28" t="str">
        <x:v>offline_test</x:v>
      </x:c>
      <x:c r="F228" s="28" t="str">
        <x:v>P4_local_response; P1_dressing_decision; P3_brand_life_narrative</x:v>
      </x:c>
      <x:c r="G228" s="28" t="str">
        <x:v>review_candidate</x:v>
      </x:c>
      <x:c r="H228" s="28" t="str">
        <x:v>batch_5_h</x:v>
      </x:c>
      <x:c r="I228" s="28" t="str">
        <x:v>PRJ-ADR-014; PRJ-MOTHER-V03</x:v>
      </x:c>
      <x:c r="J228" s="28" t="str">
        <x:v>CDF-V08; CDF-V18</x:v>
      </x:c>
      <x:c r="K228" s="28" t="str"/>
      <x:c r="L228" s="28" t="str">
        <x:v>diyu_global_asset_v0.2</x:v>
      </x:c>
      <x:c r="M228" s="28" t="str">
        <x:v>create_review_candidate</x:v>
      </x:c>
    </x:row>
    <x:row r="229">
      <x:c r="A229" s="28" t="str">
        <x:v>H-OFF-UPGRADE-001</x:v>
      </x:c>
      <x:c r="B229" s="28" t="str">
        <x:v>H</x:v>
      </x:c>
      <x:c r="C229" s="28" t="str">
        <x:v>evaluation_rule</x:v>
      </x:c>
      <x:c r="D229" s="28" t="str">
        <x:v>生成、采用或高表现不得自动升级知识</x:v>
      </x:c>
      <x:c r="E229" s="28" t="str">
        <x:v>offline_test</x:v>
      </x:c>
      <x:c r="F229" s="28" t="str">
        <x:v>P1_dressing_decision; P2_product_truth; P3_brand_life_narrative; P4_local_response; P5_visual_styling_story</x:v>
      </x:c>
      <x:c r="G229" s="28" t="str">
        <x:v>review_candidate</x:v>
      </x:c>
      <x:c r="H229" s="28" t="str">
        <x:v>batch_5_h</x:v>
      </x:c>
      <x:c r="I229" s="28" t="str">
        <x:v>PRJ-ADR-010; PRJ-ADR-011; PRJ-ADR-014</x:v>
      </x:c>
      <x:c r="J229" s="28" t="str">
        <x:v>H-V17</x:v>
      </x:c>
      <x:c r="K229" s="28" t="str"/>
      <x:c r="L229" s="28" t="str">
        <x:v>diyu_global_asset_v0.2</x:v>
      </x:c>
      <x:c r="M229" s="28" t="str">
        <x:v>create_review_candidate</x:v>
      </x:c>
    </x:row>
    <x:row r="230">
      <x:c r="A230" s="28" t="str">
        <x:v>H-P1-CHOICE-001</x:v>
      </x:c>
      <x:c r="B230" s="28" t="str">
        <x:v>H</x:v>
      </x:c>
      <x:c r="C230" s="28" t="str">
        <x:v>evaluation_rule</x:v>
      </x:c>
      <x:c r="D230" s="28" t="str">
        <x:v>P1 必须形成条件性选择结果</x:v>
      </x:c>
      <x:c r="E230" s="28" t="str">
        <x:v>hard_gate</x:v>
      </x:c>
      <x:c r="F230" s="28" t="str">
        <x:v>P1_dressing_decision</x:v>
      </x:c>
      <x:c r="G230" s="28" t="str">
        <x:v>review_candidate</x:v>
      </x:c>
      <x:c r="H230" s="28" t="str">
        <x:v>batch_5_h</x:v>
      </x:c>
      <x:c r="I230" s="28" t="str">
        <x:v>PRJ-ADR-013; PRJ-MOTHER-V03</x:v>
      </x:c>
      <x:c r="J230" s="28" t="str">
        <x:v>AB-V10; CDF-V09</x:v>
      </x:c>
      <x:c r="K230" s="28" t="str"/>
      <x:c r="L230" s="28" t="str">
        <x:v>diyu_global_asset_v0.2</x:v>
      </x:c>
      <x:c r="M230" s="28" t="str">
        <x:v>create_review_candidate</x:v>
      </x:c>
    </x:row>
    <x:row r="231">
      <x:c r="A231" s="28" t="str">
        <x:v>H-P1-PRODUCTROLE-001</x:v>
      </x:c>
      <x:c r="B231" s="28" t="str">
        <x:v>H</x:v>
      </x:c>
      <x:c r="C231" s="28" t="str">
        <x:v>evaluation_rule</x:v>
      </x:c>
      <x:c r="D231" s="28" t="str">
        <x:v>P1 商品不能劫持选择任务</x:v>
      </x:c>
      <x:c r="E231" s="28" t="str">
        <x:v>quality_criterion</x:v>
      </x:c>
      <x:c r="F231" s="28" t="str">
        <x:v>P1_dressing_decision</x:v>
      </x:c>
      <x:c r="G231" s="28" t="str">
        <x:v>review_candidate</x:v>
      </x:c>
      <x:c r="H231" s="28" t="str">
        <x:v>batch_5_h</x:v>
      </x:c>
      <x:c r="I231" s="28" t="str">
        <x:v>PRJ-ADR-013; PRJ-MOTHER-V03</x:v>
      </x:c>
      <x:c r="J231" s="28" t="str">
        <x:v>H-V11</x:v>
      </x:c>
      <x:c r="K231" s="28" t="str"/>
      <x:c r="L231" s="28" t="str">
        <x:v>diyu_global_asset_v0.2</x:v>
      </x:c>
      <x:c r="M231" s="28" t="str">
        <x:v>create_review_candidate</x:v>
      </x:c>
    </x:row>
    <x:row r="232">
      <x:c r="A232" s="28" t="str">
        <x:v>H-P1-USERFACT-001</x:v>
      </x:c>
      <x:c r="B232" s="28" t="str">
        <x:v>H</x:v>
      </x:c>
      <x:c r="C232" s="28" t="str">
        <x:v>evaluation_rule</x:v>
      </x:c>
      <x:c r="D232" s="28" t="str">
        <x:v>P1 不创造用户事实或必然效果</x:v>
      </x:c>
      <x:c r="E232" s="28" t="str">
        <x:v>hard_gate</x:v>
      </x:c>
      <x:c r="F232" s="28" t="str">
        <x:v>P1_dressing_decision</x:v>
      </x:c>
      <x:c r="G232" s="28" t="str">
        <x:v>review_candidate</x:v>
      </x:c>
      <x:c r="H232" s="28" t="str">
        <x:v>batch_5_h</x:v>
      </x:c>
      <x:c r="I232" s="28" t="str">
        <x:v>PRJ-ADR-014; PRJ-MOTHER-V03</x:v>
      </x:c>
      <x:c r="J232" s="28" t="str">
        <x:v>AB-V04; AB-V05; AB-V07; AB-V08</x:v>
      </x:c>
      <x:c r="K232" s="28" t="str"/>
      <x:c r="L232" s="28" t="str">
        <x:v>diyu_global_asset_v0.2</x:v>
      </x:c>
      <x:c r="M232" s="28" t="str">
        <x:v>create_review_candidate</x:v>
      </x:c>
    </x:row>
    <x:row r="233">
      <x:c r="A233" s="28" t="str">
        <x:v>H-P2-ANCHOR-001</x:v>
      </x:c>
      <x:c r="B233" s="28" t="str">
        <x:v>H</x:v>
      </x:c>
      <x:c r="C233" s="28" t="str">
        <x:v>evaluation_rule</x:v>
      </x:c>
      <x:c r="D233" s="28" t="str">
        <x:v>P2 必须保留真实商品专属锚点</x:v>
      </x:c>
      <x:c r="E233" s="28" t="str">
        <x:v>hard_gate</x:v>
      </x:c>
      <x:c r="F233" s="28" t="str">
        <x:v>P2_product_truth</x:v>
      </x:c>
      <x:c r="G233" s="28" t="str">
        <x:v>review_candidate</x:v>
      </x:c>
      <x:c r="H233" s="28" t="str">
        <x:v>batch_5_h</x:v>
      </x:c>
      <x:c r="I233" s="28" t="str">
        <x:v>PRJ-ADR-013; PRJ-MOTHER-V03</x:v>
      </x:c>
      <x:c r="J233" s="28" t="str">
        <x:v>AB-V11; AB-V17</x:v>
      </x:c>
      <x:c r="K233" s="28" t="str"/>
      <x:c r="L233" s="28" t="str">
        <x:v>diyu_global_asset_v0.2</x:v>
      </x:c>
      <x:c r="M233" s="28" t="str">
        <x:v>create_review_candidate</x:v>
      </x:c>
    </x:row>
    <x:row r="234">
      <x:c r="A234" s="28" t="str">
        <x:v>H-P2-INTENT-001</x:v>
      </x:c>
      <x:c r="B234" s="28" t="str">
        <x:v>H</x:v>
      </x:c>
      <x:c r="C234" s="28" t="str">
        <x:v>evaluation_rule</x:v>
      </x:c>
      <x:c r="D234" s="28" t="str">
        <x:v>品牌确认理由与系统专业解释分离</x:v>
      </x:c>
      <x:c r="E234" s="28" t="str">
        <x:v>hard_gate</x:v>
      </x:c>
      <x:c r="F234" s="28" t="str">
        <x:v>P2_product_truth</x:v>
      </x:c>
      <x:c r="G234" s="28" t="str">
        <x:v>review_candidate</x:v>
      </x:c>
      <x:c r="H234" s="28" t="str">
        <x:v>batch_5_h</x:v>
      </x:c>
      <x:c r="I234" s="28" t="str">
        <x:v>PRJ-ADR-014; PRJ-MOTHER-V03</x:v>
      </x:c>
      <x:c r="J234" s="28" t="str">
        <x:v>AB-V11; CDF-V12; H-V12</x:v>
      </x:c>
      <x:c r="K234" s="28" t="str"/>
      <x:c r="L234" s="28" t="str">
        <x:v>diyu_global_asset_v0.2</x:v>
      </x:c>
      <x:c r="M234" s="28" t="str">
        <x:v>create_review_candidate</x:v>
      </x:c>
    </x:row>
    <x:row r="235">
      <x:c r="A235" s="28" t="str">
        <x:v>H-P2-LINE-001</x:v>
      </x:c>
      <x:c r="B235" s="28" t="str">
        <x:v>H</x:v>
      </x:c>
      <x:c r="C235" s="28" t="str">
        <x:v>evaluation_rule</x:v>
      </x:c>
      <x:c r="D235" s="28" t="str">
        <x:v>P2 单一商品认知主线与诚实取舍</x:v>
      </x:c>
      <x:c r="E235" s="28" t="str">
        <x:v>hard_gate</x:v>
      </x:c>
      <x:c r="F235" s="28" t="str">
        <x:v>P2_product_truth</x:v>
      </x:c>
      <x:c r="G235" s="28" t="str">
        <x:v>review_candidate</x:v>
      </x:c>
      <x:c r="H235" s="28" t="str">
        <x:v>batch_5_h</x:v>
      </x:c>
      <x:c r="I235" s="28" t="str">
        <x:v>PRJ-MOTHER-V03; PRJ-ADR-013</x:v>
      </x:c>
      <x:c r="J235" s="28" t="str">
        <x:v>AB-V11; CDF-V12</x:v>
      </x:c>
      <x:c r="K235" s="28" t="str"/>
      <x:c r="L235" s="28" t="str">
        <x:v>diyu_global_asset_v0.2</x:v>
      </x:c>
      <x:c r="M235" s="28" t="str">
        <x:v>create_review_candidate</x:v>
      </x:c>
    </x:row>
    <x:row r="236">
      <x:c r="A236" s="28" t="str">
        <x:v>H-P3-NOFORCE-001</x:v>
      </x:c>
      <x:c r="B236" s="28" t="str">
        <x:v>H</x:v>
      </x:c>
      <x:c r="C236" s="28" t="str">
        <x:v>evaluation_rule</x:v>
      </x:c>
      <x:c r="D236" s="28" t="str">
        <x:v>P3 不强制故事、商品、CTA 或圆满结论</x:v>
      </x:c>
      <x:c r="E236" s="28" t="str">
        <x:v>quality_criterion</x:v>
      </x:c>
      <x:c r="F236" s="28" t="str">
        <x:v>P3_brand_life_narrative</x:v>
      </x:c>
      <x:c r="G236" s="28" t="str">
        <x:v>review_candidate</x:v>
      </x:c>
      <x:c r="H236" s="28" t="str">
        <x:v>batch_5_h</x:v>
      </x:c>
      <x:c r="I236" s="28" t="str">
        <x:v>PRJ-MOTHER-V03; PRJ-ADR-014</x:v>
      </x:c>
      <x:c r="J236" s="28" t="str">
        <x:v>CDF-V16; CDF-V22; H-V13</x:v>
      </x:c>
      <x:c r="K236" s="28" t="str"/>
      <x:c r="L236" s="28" t="str">
        <x:v>diyu_global_asset_v0.2</x:v>
      </x:c>
      <x:c r="M236" s="28" t="str">
        <x:v>create_review_candidate</x:v>
      </x:c>
    </x:row>
    <x:row r="237">
      <x:c r="A237" s="28" t="str">
        <x:v>H-P3-PERSONA-001</x:v>
      </x:c>
      <x:c r="B237" s="28" t="str">
        <x:v>H</x:v>
      </x:c>
      <x:c r="C237" s="28" t="str">
        <x:v>evaluation_rule</x:v>
      </x:c>
      <x:c r="D237" s="28" t="str">
        <x:v>P3 每篇完成一次人格或关系增量</x:v>
      </x:c>
      <x:c r="E237" s="28" t="str">
        <x:v>hard_gate</x:v>
      </x:c>
      <x:c r="F237" s="28" t="str">
        <x:v>P3_brand_life_narrative</x:v>
      </x:c>
      <x:c r="G237" s="28" t="str">
        <x:v>review_candidate</x:v>
      </x:c>
      <x:c r="H237" s="28" t="str">
        <x:v>batch_5_h</x:v>
      </x:c>
      <x:c r="I237" s="28" t="str">
        <x:v>PRJ-MOTHER-V03; PRJ-ADR-013</x:v>
      </x:c>
      <x:c r="J237" s="28" t="str">
        <x:v>CDF-V15; CDF-V16</x:v>
      </x:c>
      <x:c r="K237" s="28" t="str"/>
      <x:c r="L237" s="28" t="str">
        <x:v>diyu_global_asset_v0.2</x:v>
      </x:c>
      <x:c r="M237" s="28" t="str">
        <x:v>create_review_candidate</x:v>
      </x:c>
    </x:row>
    <x:row r="238">
      <x:c r="A238" s="28" t="str">
        <x:v>H-P3-SPECIFICITY-001</x:v>
      </x:c>
      <x:c r="B238" s="28" t="str">
        <x:v>H</x:v>
      </x:c>
      <x:c r="C238" s="28" t="str">
        <x:v>evaluation_rule</x:v>
      </x:c>
      <x:c r="D238" s="28" t="str">
        <x:v>P3 品牌与账号位置必须结构性参与</x:v>
      </x:c>
      <x:c r="E238" s="28" t="str">
        <x:v>hard_gate</x:v>
      </x:c>
      <x:c r="F238" s="28" t="str">
        <x:v>P3_brand_life_narrative</x:v>
      </x:c>
      <x:c r="G238" s="28" t="str">
        <x:v>review_candidate</x:v>
      </x:c>
      <x:c r="H238" s="28" t="str">
        <x:v>batch_5_h</x:v>
      </x:c>
      <x:c r="I238" s="28" t="str">
        <x:v>PRJ-MOTHER-V03; PRJ-ADR-005; PRJ-ADR-014</x:v>
      </x:c>
      <x:c r="J238" s="28" t="str">
        <x:v>CDF-V15; CDF-V23; CDF-V24</x:v>
      </x:c>
      <x:c r="K238" s="28" t="str"/>
      <x:c r="L238" s="28" t="str">
        <x:v>diyu_global_asset_v0.2</x:v>
      </x:c>
      <x:c r="M238" s="28" t="str">
        <x:v>create_review_candidate</x:v>
      </x:c>
    </x:row>
    <x:row r="239">
      <x:c r="A239" s="28" t="str">
        <x:v>H-P4-DYNAMIC-001</x:v>
      </x:c>
      <x:c r="B239" s="28" t="str">
        <x:v>H</x:v>
      </x:c>
      <x:c r="C239" s="28" t="str">
        <x:v>evaluation_rule</x:v>
      </x:c>
      <x:c r="D239" s="28" t="str">
        <x:v>P4 动态现实断言按时间锚点触发</x:v>
      </x:c>
      <x:c r="E239" s="28" t="str">
        <x:v>hard_gate</x:v>
      </x:c>
      <x:c r="F239" s="28" t="str">
        <x:v>P4_local_response</x:v>
      </x:c>
      <x:c r="G239" s="28" t="str">
        <x:v>review_candidate</x:v>
      </x:c>
      <x:c r="H239" s="28" t="str">
        <x:v>batch_5_h</x:v>
      </x:c>
      <x:c r="I239" s="28" t="str">
        <x:v>PRJ-ADR-014; PRJ-ADR-007; PRJ-MOTHER-V03</x:v>
      </x:c>
      <x:c r="J239" s="28" t="str">
        <x:v>CDF-V08; CDF-V18; H-V14</x:v>
      </x:c>
      <x:c r="K239" s="28" t="str"/>
      <x:c r="L239" s="28" t="str">
        <x:v>diyu_global_asset_v0.2</x:v>
      </x:c>
      <x:c r="M239" s="28" t="str">
        <x:v>create_review_candidate</x:v>
      </x:c>
    </x:row>
    <x:row r="240">
      <x:c r="A240" s="28" t="str">
        <x:v>H-P4-LOCALITY-001</x:v>
      </x:c>
      <x:c r="B240" s="28" t="str">
        <x:v>H</x:v>
      </x:c>
      <x:c r="C240" s="28" t="str">
        <x:v>evaluation_rule</x:v>
      </x:c>
      <x:c r="D240" s="28" t="str">
        <x:v>P4 本地语境必须实质改变内容</x:v>
      </x:c>
      <x:c r="E240" s="28" t="str">
        <x:v>hard_gate</x:v>
      </x:c>
      <x:c r="F240" s="28" t="str">
        <x:v>P4_local_response</x:v>
      </x:c>
      <x:c r="G240" s="28" t="str">
        <x:v>review_candidate</x:v>
      </x:c>
      <x:c r="H240" s="28" t="str">
        <x:v>batch_5_h</x:v>
      </x:c>
      <x:c r="I240" s="28" t="str">
        <x:v>PRJ-MOTHER-V03; PRJ-ADR-014</x:v>
      </x:c>
      <x:c r="J240" s="28" t="str">
        <x:v>CDF-V08; CDF-V18; CDF-V24</x:v>
      </x:c>
      <x:c r="K240" s="28" t="str"/>
      <x:c r="L240" s="28" t="str">
        <x:v>diyu_global_asset_v0.2</x:v>
      </x:c>
      <x:c r="M240" s="28" t="str">
        <x:v>create_review_candidate</x:v>
      </x:c>
    </x:row>
    <x:row r="241">
      <x:c r="A241" s="28" t="str">
        <x:v>H-P4-RELATION-001</x:v>
      </x:c>
      <x:c r="B241" s="28" t="str">
        <x:v>H</x:v>
      </x:c>
      <x:c r="C241" s="28" t="str">
        <x:v>evaluation_rule</x:v>
      </x:c>
      <x:c r="D241" s="28" t="str">
        <x:v>P4 必须形成在地关系回报</x:v>
      </x:c>
      <x:c r="E241" s="28" t="str">
        <x:v>hard_gate</x:v>
      </x:c>
      <x:c r="F241" s="28" t="str">
        <x:v>P4_local_response</x:v>
      </x:c>
      <x:c r="G241" s="28" t="str">
        <x:v>review_candidate</x:v>
      </x:c>
      <x:c r="H241" s="28" t="str">
        <x:v>batch_5_h</x:v>
      </x:c>
      <x:c r="I241" s="28" t="str">
        <x:v>PRJ-MOTHER-V03; PRJ-ADR-013</x:v>
      </x:c>
      <x:c r="J241" s="28" t="str">
        <x:v>CDF-V17; CDF-V18</x:v>
      </x:c>
      <x:c r="K241" s="28" t="str"/>
      <x:c r="L241" s="28" t="str">
        <x:v>diyu_global_asset_v0.2</x:v>
      </x:c>
      <x:c r="M241" s="28" t="str">
        <x:v>create_review_candidate</x:v>
      </x:c>
    </x:row>
    <x:row r="242">
      <x:c r="A242" s="28" t="str">
        <x:v>H-P5-BOUNDARY-001</x:v>
      </x:c>
      <x:c r="B242" s="28" t="str">
        <x:v>H</x:v>
      </x:c>
      <x:c r="C242" s="28" t="str">
        <x:v>evaluation_rule</x:v>
      </x:c>
      <x:c r="D242" s="28" t="str">
        <x:v>P5 与经营陈列及媒体实际性保持边界</x:v>
      </x:c>
      <x:c r="E242" s="28" t="str">
        <x:v>hard_gate</x:v>
      </x:c>
      <x:c r="F242" s="28" t="str">
        <x:v>P5_visual_styling_story</x:v>
      </x:c>
      <x:c r="G242" s="28" t="str">
        <x:v>review_candidate</x:v>
      </x:c>
      <x:c r="H242" s="28" t="str">
        <x:v>batch_5_h</x:v>
      </x:c>
      <x:c r="I242" s="28" t="str">
        <x:v>PRJ-ADR-002; PRJ-P5-CLOSE-20260721</x:v>
      </x:c>
      <x:c r="J242" s="28" t="str">
        <x:v>AB-V15; AB-V16; BE-V06; BE-V07</x:v>
      </x:c>
      <x:c r="K242" s="28" t="str"/>
      <x:c r="L242" s="28" t="str">
        <x:v>diyu_global_asset_v0.2</x:v>
      </x:c>
      <x:c r="M242" s="28" t="str">
        <x:v>create_review_candidate</x:v>
      </x:c>
    </x:row>
    <x:row r="243">
      <x:c r="A243" s="28" t="str">
        <x:v>H-P5-PRODUCT-001</x:v>
      </x:c>
      <x:c r="B243" s="28" t="str">
        <x:v>H</x:v>
      </x:c>
      <x:c r="C243" s="28" t="str">
        <x:v>evaluation_rule</x:v>
      </x:c>
      <x:c r="D243" s="28" t="str">
        <x:v>P5 必须绑定真实品牌商品</x:v>
      </x:c>
      <x:c r="E243" s="28" t="str">
        <x:v>hard_gate</x:v>
      </x:c>
      <x:c r="F243" s="28" t="str">
        <x:v>P5_visual_styling_story</x:v>
      </x:c>
      <x:c r="G243" s="28" t="str">
        <x:v>review_candidate</x:v>
      </x:c>
      <x:c r="H243" s="28" t="str">
        <x:v>batch_5_h</x:v>
      </x:c>
      <x:c r="I243" s="28" t="str">
        <x:v>PRJ-ADR-013; PRJ-P5-CLOSE-20260721</x:v>
      </x:c>
      <x:c r="J243" s="28" t="str">
        <x:v>BE-V02; AB-V12</x:v>
      </x:c>
      <x:c r="K243" s="28" t="str"/>
      <x:c r="L243" s="28" t="str">
        <x:v>diyu_global_asset_v0.2</x:v>
      </x:c>
      <x:c r="M243" s="28" t="str">
        <x:v>create_review_candidate</x:v>
      </x:c>
    </x:row>
    <x:row r="244">
      <x:c r="A244" s="28" t="str">
        <x:v>H-P5-PROPOSITION-001</x:v>
      </x:c>
      <x:c r="B244" s="28" t="str">
        <x:v>H</x:v>
      </x:c>
      <x:c r="C244" s="28" t="str">
        <x:v>evaluation_rule</x:v>
      </x:c>
      <x:c r="D244" s="28" t="str">
        <x:v>P5 每份只围绕一条可见造型命题</x:v>
      </x:c>
      <x:c r="E244" s="28" t="str">
        <x:v>hard_gate</x:v>
      </x:c>
      <x:c r="F244" s="28" t="str">
        <x:v>P5_visual_styling_story</x:v>
      </x:c>
      <x:c r="G244" s="28" t="str">
        <x:v>review_candidate</x:v>
      </x:c>
      <x:c r="H244" s="28" t="str">
        <x:v>batch_5_h</x:v>
      </x:c>
      <x:c r="I244" s="28" t="str">
        <x:v>PRJ-P5-CLOSE-20260721; PRJ-ADR-013</x:v>
      </x:c>
      <x:c r="J244" s="28" t="str">
        <x:v>AB-V12; BE-V01; BE-V08</x:v>
      </x:c>
      <x:c r="K244" s="28" t="str"/>
      <x:c r="L244" s="28" t="str">
        <x:v>diyu_global_asset_v0.2</x:v>
      </x:c>
      <x:c r="M244" s="28" t="str">
        <x:v>create_review_candidate</x:v>
      </x:c>
    </x:row>
    <x:row r="245">
      <x:c r="A245" s="28" t="str">
        <x:v>H-P5-RELATION-001</x:v>
      </x:c>
      <x:c r="B245" s="28" t="str">
        <x:v>H</x:v>
      </x:c>
      <x:c r="C245" s="28" t="str">
        <x:v>evaluation_rule</x:v>
      </x:c>
      <x:c r="D245" s="28" t="str">
        <x:v>P5 商品关系按命题必要性组织</x:v>
      </x:c>
      <x:c r="E245" s="28" t="str">
        <x:v>quality_criterion</x:v>
      </x:c>
      <x:c r="F245" s="28" t="str">
        <x:v>P5_visual_styling_story</x:v>
      </x:c>
      <x:c r="G245" s="28" t="str">
        <x:v>review_candidate</x:v>
      </x:c>
      <x:c r="H245" s="28" t="str">
        <x:v>batch_5_h</x:v>
      </x:c>
      <x:c r="I245" s="28" t="str">
        <x:v>PRJ-P5-CLOSE-20260721</x:v>
      </x:c>
      <x:c r="J245" s="28" t="str">
        <x:v>BE-V09</x:v>
      </x:c>
      <x:c r="K245" s="28" t="str"/>
      <x:c r="L245" s="28" t="str">
        <x:v>diyu_global_asset_v0.2</x:v>
      </x:c>
      <x:c r="M245" s="28" t="str">
        <x:v>create_review_candidate</x:v>
      </x:c>
    </x:row>
    <x:row r="246">
      <x:c r="A246" s="28" t="str">
        <x:v>H-P5-VISUAL-001</x:v>
      </x:c>
      <x:c r="B246" s="28" t="str">
        <x:v>H</x:v>
      </x:c>
      <x:c r="C246" s="28" t="str">
        <x:v>evaluation_rule</x:v>
      </x:c>
      <x:c r="D246" s="28" t="str">
        <x:v>P5 画面必须承担主要价值</x:v>
      </x:c>
      <x:c r="E246" s="28" t="str">
        <x:v>hard_gate</x:v>
      </x:c>
      <x:c r="F246" s="28" t="str">
        <x:v>P5_visual_styling_story</x:v>
      </x:c>
      <x:c r="G246" s="28" t="str">
        <x:v>review_candidate</x:v>
      </x:c>
      <x:c r="H246" s="28" t="str">
        <x:v>batch_5_h</x:v>
      </x:c>
      <x:c r="I246" s="28" t="str">
        <x:v>PRJ-P5-CLOSE-20260721; PRJ-ADR-013</x:v>
      </x:c>
      <x:c r="J246" s="28" t="str">
        <x:v>AB-V14; CDF-V14; BE-V05; BE-V10</x:v>
      </x:c>
      <x:c r="K246" s="28" t="str"/>
      <x:c r="L246" s="28" t="str">
        <x:v>diyu_global_asset_v0.2</x:v>
      </x:c>
      <x:c r="M246" s="28" t="str">
        <x:v>create_review_candidate</x:v>
      </x:c>
    </x:row>
  </x:sheetData>
  <x:mergeCells>
    <x:mergeCell ref="A1:M1"/>
  </x:mergeCells>
  <x:pageMargins left="0.7" right="0.7" top="0.75" bottom="0.75" header="0.3" footer="0.3"/>
  <x:tableParts count="1">
    <x:tablePart xmlns:r="http://schemas.openxmlformats.org/officeDocument/2006/relationships" r:id="R935e4b1beabf47bb"/>
  </x:tableParts>
</x:worksheet>
</file>

<file path=xl/worksheets/sheet3.xml><?xml version="1.0" encoding="utf-8"?>
<x:worksheet xmlns:x="http://schemas.openxmlformats.org/spreadsheetml/2006/main">
  <x:sheetFormatPr defaultRowHeight="15"/>
  <x:cols>
    <x:col min="1" max="1" width="20" hidden="0" customWidth="1"/>
    <x:col min="2" max="2" width="10" hidden="0" customWidth="1"/>
    <x:col min="3" max="3" width="22" hidden="0" customWidth="1"/>
    <x:col min="4" max="4" width="34" hidden="0" customWidth="1"/>
    <x:col min="5" max="5" width="18" hidden="0" customWidth="1"/>
    <x:col min="6" max="6" width="46" hidden="0" customWidth="1"/>
    <x:col min="7" max="7" width="34" hidden="0" customWidth="1"/>
    <x:col min="8" max="8" width="34" hidden="0" customWidth="1"/>
    <x:col min="9" max="9" width="30" hidden="0" customWidth="1"/>
    <x:col min="10" max="10" width="30" hidden="0" customWidth="1"/>
    <x:col min="11" max="11" width="42" hidden="0" customWidth="1"/>
    <x:col min="12" max="12" width="30" hidden="0" customWidth="1"/>
    <x:col min="13" max="13" width="30" hidden="0" customWidth="1"/>
    <x:col min="14" max="14" width="26" hidden="0" customWidth="1"/>
    <x:col min="15" max="15" width="18" hidden="0" customWidth="1"/>
  </x:cols>
  <x:sheetData>
    <x:row r="1" ht="30" customHeight="1">
      <x:c r="A1" s="8" t="str">
        <x:v>G01—G08 零售经营陈列知识卡</x:v>
      </x:c>
      <x:c r="B1" s="8"/>
      <x:c r="C1" s="8"/>
      <x:c r="D1" s="8"/>
      <x:c r="E1" s="8"/>
      <x:c r="F1" s="8"/>
      <x:c r="G1" s="8"/>
      <x:c r="H1" s="8"/>
      <x:c r="I1" s="8"/>
      <x:c r="J1" s="8"/>
      <x:c r="K1" s="8"/>
      <x:c r="L1" s="8"/>
      <x:c r="M1" s="8"/>
      <x:c r="N1" s="8"/>
      <x:c r="O1" s="8"/>
    </x:row>
    <x:row r="3" ht="26" customHeight="1">
      <x:c r="A3" s="24" t="str">
        <x:v>knowledge_id</x:v>
      </x:c>
      <x:c r="B3" s="24" t="str">
        <x:v>demand_id</x:v>
      </x:c>
      <x:c r="C3" s="24" t="str">
        <x:v>topic</x:v>
      </x:c>
      <x:c r="D3" s="24" t="str">
        <x:v>title</x:v>
      </x:c>
      <x:c r="E3" s="24" t="str">
        <x:v>hardness</x:v>
      </x:c>
      <x:c r="F3" s="24" t="str">
        <x:v>statement</x:v>
      </x:c>
      <x:c r="G3" s="24" t="str">
        <x:v>scope/when</x:v>
      </x:c>
      <x:c r="H3" s="24" t="str">
        <x:v>definition/effect</x:v>
      </x:c>
      <x:c r="I3" s="24" t="str">
        <x:v>tradeoffs</x:v>
      </x:c>
      <x:c r="J3" s="24" t="str">
        <x:v>not_when</x:v>
      </x:c>
      <x:c r="K3" s="24" t="str">
        <x:v>anti_misuse</x:v>
      </x:c>
      <x:c r="L3" s="24" t="str">
        <x:v>basis_refs</x:v>
      </x:c>
      <x:c r="M3" s="24" t="str">
        <x:v>related_assets</x:v>
      </x:c>
      <x:c r="N3" s="24" t="str">
        <x:v>fixtures</x:v>
      </x:c>
      <x:c r="O3" s="24" t="str">
        <x:v>status</x:v>
      </x:c>
    </x:row>
    <x:row r="4">
      <x:c r="A4" s="28" t="str">
        <x:v>G-TASK-001</x:v>
      </x:c>
      <x:c r="B4" s="28" t="str">
        <x:v>G01</x:v>
      </x:c>
      <x:c r="C4" s="28" t="str">
        <x:v>task_dimensions</x:v>
      </x:c>
      <x:c r="D4" s="28" t="str">
        <x:v>陈列任务目的、区域与载体是三个正交维度</x:v>
      </x:c>
      <x:c r="E4" s="28" t="str">
        <x:v>deterministic_fact</x:v>
      </x:c>
      <x:c r="F4" s="28" t="str">
        <x:v>零售经营陈列任务应分别说明要完成的经营目的、作用的陈列区域和使用的陈列载体；“视觉陈列、墙面、挂杆”不能混成一个互斥分类。</x:v>
      </x:c>
      <x:c r="G4" s="28" t="str">
        <x:v>零售经营陈列任务的基础分类与路由</x:v>
      </x:c>
      <x:c r="H4" s="28" t="str">
        <x:v>任务目的回答为什么做；区域回答在哪里做；载体回答借助什么设施完成。一个任务可同时取三维各一个或多个适用值。</x:v>
      </x:c>
      <x:c r="I4" s="28" t="str"/>
      <x:c r="J4" s="28" t="str"/>
      <x:c r="K4" s="28" t="str">
        <x:v>不得把“橱窗、模特、中岛、销售搭配、挂杆”列成同一层枚举；不得因共享商品与搭配知识而启动 P5。</x:v>
      </x:c>
      <x:c r="L4" s="28" t="str">
        <x:v>PRJ-ADR-002; PRJ-ADR-018; PRJ-D005-GOLD-V03</x:v>
      </x:c>
      <x:c r="M4" s="28" t="str"/>
      <x:c r="N4" s="28" t="str">
        <x:v>DM-V11; DM-V12</x:v>
      </x:c>
      <x:c r="O4" s="28" t="str">
        <x:v>review_candidate</x:v>
      </x:c>
    </x:row>
    <x:row r="5">
      <x:c r="A5" s="28" t="str">
        <x:v>G-TASK-002</x:v>
      </x:c>
      <x:c r="B5" s="28" t="str">
        <x:v>G01</x:v>
      </x:c>
      <x:c r="C5" s="28" t="str">
        <x:v>task_purpose_boundary</x:v>
      </x:c>
      <x:c r="D5" s="28" t="str">
        <x:v>视觉陈列、销售连带与顾客穿搭不是同一成果</x:v>
      </x:c>
      <x:c r="E5" s="28" t="str">
        <x:v>deterministic_fact</x:v>
      </x:c>
      <x:c r="F5" s="28" t="str">
        <x:v>视觉陈列主要组织空间中的可见重点与阅读顺序；销售连带主要组织商品之间的购买关联；顾客穿搭主要围绕人的场景和选择形成搭配建议。</x:v>
      </x:c>
      <x:c r="G5" s="28" t="str">
        <x:v>零售经营陈列与穿搭成果的任务区分</x:v>
      </x:c>
      <x:c r="H5" s="28" t="str">
        <x:v>按成果主要服务对象和验收结果区分，而不是按是否使用了相同商品或搭配知识区分。</x:v>
      </x:c>
      <x:c r="I5" s="28" t="str"/>
      <x:c r="J5" s="28" t="str"/>
      <x:c r="K5" s="28" t="str">
        <x:v>不得用顾客穿搭清单替代墙面执行方案，也不得把空间陈列方案直接当作对外 P5 内容。</x:v>
      </x:c>
      <x:c r="L5" s="28" t="str">
        <x:v>PRJ-ADR-002; PRJ-ADR-018; PRJ-STRATEGY-V1</x:v>
      </x:c>
      <x:c r="M5" s="28" t="str"/>
      <x:c r="N5" s="28" t="str"/>
      <x:c r="O5" s="28" t="str">
        <x:v>review_candidate</x:v>
      </x:c>
    </x:row>
    <x:row r="6">
      <x:c r="A6" s="28" t="str">
        <x:v>G-TASK-003</x:v>
      </x:c>
      <x:c r="B6" s="28" t="str">
        <x:v>G01</x:v>
      </x:c>
      <x:c r="C6" s="28" t="str">
        <x:v>artifact_actuality</x:v>
      </x:c>
      <x:c r="D6" s="28" t="str">
        <x:v>执行建议、用户声明已执行与系统核验结果必须分开</x:v>
      </x:c>
      <x:c r="E6" s="28" t="str">
        <x:v>deterministic_fact</x:v>
      </x:c>
      <x:c r="F6" s="28" t="str">
        <x:v>系统生成的门店陈列执行方案始终是建议；门店可以声明已经执行并反馈差异，但第一版不把该声明升级为系统识图核验、评分、批准或巡检结论。</x:v>
      </x:c>
      <x:c r="G6" s="28" t="str">
        <x:v>首期 DisplayArtifact 的现实口径</x:v>
      </x:c>
      <x:c r="H6" s="28" t="str">
        <x:v>建议由系统生成；执行声明由门店提供；现场核验需要独立能力，首期未建设。</x:v>
      </x:c>
      <x:c r="I6" s="28" t="str"/>
      <x:c r="J6" s="28" t="str"/>
      <x:c r="K6" s="28" t="str">
        <x:v>不得写成“系统已确认陈列合格”“总部已批准”“现场已经完成”；自然反馈不得改名为巡检缺陷或整改任务。</x:v>
      </x:c>
      <x:c r="L6" s="28" t="str">
        <x:v>PRJ-ADR-002; PRJ-ADR-006; PRJ-ADR-010; PRJ-ADR-018</x:v>
      </x:c>
      <x:c r="M6" s="28" t="str"/>
      <x:c r="N6" s="28" t="str">
        <x:v>DM-V10</x:v>
      </x:c>
      <x:c r="O6" s="28" t="str">
        <x:v>review_candidate</x:v>
      </x:c>
    </x:row>
    <x:row r="7">
      <x:c r="A7" s="28" t="str">
        <x:v>G-TASK-004</x:v>
      </x:c>
      <x:c r="B7" s="28" t="str">
        <x:v>G01</x:v>
      </x:c>
      <x:c r="C7" s="28" t="str">
        <x:v>inventory_scope</x:v>
      </x:c>
      <x:c r="D7" s="28" t="str">
        <x:v>库存清单是本次选择范围，不是把商品全部挂满的命令</x:v>
      </x:c>
      <x:c r="E7" s="28" t="str">
        <x:v>conditional_rule</x:v>
      </x:c>
      <x:c r="F7" s="28" t="str">
        <x:v>当门店提供本次可用商品与数量时，系统应从中选择支撑当前视觉目标和挂杆条件的商品；容量允许或商品存在，不等于必须全部上墙。</x:v>
      </x:c>
      <x:c r="G7" s="28" t="str">
        <x:v>基于门店本次人工库存清单生成墙面挂杆执行方案</x:v>
      </x:c>
      <x:c r="H7" s="28" t="str">
        <x:v>可以保留视觉层级、抽取便利和搭配关系，并留下未上墙后备商品</x:v>
      </x:c>
      <x:c r="I7" s="28" t="str">
        <x:v>少挂可能降低商品曝光数量，但可提升重点识别与操作便利</x:v>
      </x:c>
      <x:c r="J7" s="28" t="str">
        <x:v>用户明确要求的是库存清点或补货任务；或者品牌当前标准明确要求另一种展示密度</x:v>
      </x:c>
      <x:c r="K7" s="28" t="str">
        <x:v>不得把库存数量机械等同上墙数量；不得为了“用完库存”破坏焦点、搭配区或拿取空间。</x:v>
      </x:c>
      <x:c r="L7" s="28" t="str">
        <x:v>PRJ-ADR-007; PRJ-ADR-018; PRJ-D005-GOLD-V03</x:v>
      </x:c>
      <x:c r="M7" s="28" t="str"/>
      <x:c r="N7" s="28" t="str">
        <x:v>DM-GOLD-001; DM-NEAR-001; DM-V13</x:v>
      </x:c>
      <x:c r="O7" s="28" t="str">
        <x:v>review_candidate</x:v>
      </x:c>
    </x:row>
    <x:row r="8">
      <x:c r="A8" s="28" t="str">
        <x:v>G-FIXTURE-001</x:v>
      </x:c>
      <x:c r="B8" s="28" t="str">
        <x:v>G02</x:v>
      </x:c>
      <x:c r="C8" s="28" t="str">
        <x:v>fixture_structure</x:v>
      </x:c>
      <x:c r="D8" s="28" t="str">
        <x:v>上下杆、正挂点与侧挂容量承担不同结构职责</x:v>
      </x:c>
      <x:c r="E8" s="28" t="str">
        <x:v>deterministic_fact</x:v>
      </x:c>
      <x:c r="F8" s="28" t="str">
        <x:v>墙面挂杆中的上杆、下杆、固定正挂点和侧挂区是不同的空间位置；它们可以共同组成一个方案，但其数量、视线和商品职责不能互相替代。</x:v>
      </x:c>
      <x:c r="G8" s="28" t="str">
        <x:v>具有上下层和固定正挂点的墙面挂杆组</x:v>
      </x:c>
      <x:c r="H8" s="28" t="str">
        <x:v>按门店实际设施记录结构位置与可用方式，不用一个总容量字段抹去层级和固定限制。</x:v>
      </x:c>
      <x:c r="I8" s="28" t="str"/>
      <x:c r="J8" s="28" t="str"/>
      <x:c r="K8" s="28" t="str">
        <x:v>不得只给一条从左到右的单层清单；不得把上杆商品随意移到下杆凑数量。</x:v>
      </x:c>
      <x:c r="L8" s="28" t="str">
        <x:v>PRJ-ADR-018; PRJ-D005-GOLD-V03; EXP-G-DISPLAY-001</x:v>
      </x:c>
      <x:c r="M8" s="28" t="str"/>
      <x:c r="N8" s="28" t="str">
        <x:v>DM-GOLD-001</x:v>
      </x:c>
      <x:c r="O8" s="28" t="str">
        <x:v>review_candidate</x:v>
      </x:c>
    </x:row>
    <x:row r="9">
      <x:c r="A9" s="28" t="str">
        <x:v>G-FIXTURE-002</x:v>
      </x:c>
      <x:c r="B9" s="28" t="str">
        <x:v>G02</x:v>
      </x:c>
      <x:c r="C9" s="28" t="str">
        <x:v>customer_flow</x:v>
      </x:c>
      <x:c r="D9" s="28" t="str">
        <x:v>主要来客方向会改变第一视觉入口与左右阅读顺序</x:v>
      </x:c>
      <x:c r="E9" s="28" t="str">
        <x:v>conditional_rule</x:v>
      </x:c>
      <x:c r="F9" s="28" t="str">
        <x:v>当顾客主要从某一侧进入或接近墙面时，靠近该方向且位于主要视线位置的商品通常更容易成为第一视觉入口；动线变化时，主焦点位置与阅读顺序需要重新判断。</x:v>
      </x:c>
      <x:c r="G9" s="28" t="str">
        <x:v>门店能说明主要来客方向，且墙面位于顾客可顺向观看的位置</x:v>
      </x:c>
      <x:c r="H9" s="28" t="str">
        <x:v>帮助确定主焦点、次级回应和从左向右或从右向左的阅读次序</x:v>
      </x:c>
      <x:c r="I9" s="28" t="str">
        <x:v>过度依赖单一动线可能忽略双向客流或局部遮挡，需要结合现场固定条件</x:v>
      </x:c>
      <x:c r="J9" s="28" t="str">
        <x:v>来客方向不稳定、墙面可从多方向同等接近，或固定设施使焦点无法随动线调整</x:v>
      </x:c>
      <x:c r="K9" s="28" t="str">
        <x:v>不得把“主焦点永远在左边”写成通用规则；动线改变时不能只机械镜像文字而不看固定正挂点。</x:v>
      </x:c>
      <x:c r="L9" s="28" t="str">
        <x:v>PRJ-ADR-018; PRJ-D005-GOLD-V03; EXP-G-DISPLAY-001</x:v>
      </x:c>
      <x:c r="M9" s="28" t="str"/>
      <x:c r="N9" s="28" t="str">
        <x:v>DM-GOLD-001; DM-V05</x:v>
      </x:c>
      <x:c r="O9" s="28" t="str">
        <x:v>review_candidate</x:v>
      </x:c>
    </x:row>
    <x:row r="10">
      <x:c r="A10" s="28" t="str">
        <x:v>G-FIXTURE-003</x:v>
      </x:c>
      <x:c r="B10" s="28" t="str">
        <x:v>G02</x:v>
      </x:c>
      <x:c r="C10" s="28" t="str">
        <x:v>sight_band</x:v>
      </x:c>
      <x:c r="D10" s="28" t="str">
        <x:v>主要视线带是门店设施档案属性，不是全行业固定高度</x:v>
      </x:c>
      <x:c r="E10" s="28" t="str">
        <x:v>conditional_rule</x:v>
      </x:c>
      <x:c r="F10" s="28" t="str">
        <x:v>墙面陈列应优先利用本门店已记录的主要视线带和设施高度；具体厘米范围取决于挂杆安装、顾客距离和门店条件，不能把演示门店数值扩展为全行业统一标准。</x:v>
      </x:c>
      <x:c r="G10" s="28" t="str">
        <x:v>门店已经记录上杆、正挂点或主要商品主体所在高度</x:v>
      </x:c>
      <x:c r="H10" s="28" t="str">
        <x:v>可以把关键商品放在更容易被看见的位置，并减少每次任务重复询问</x:v>
      </x:c>
      <x:c r="I10" s="28" t="str">
        <x:v>固定视线带有利于复用，但设施改造后必须更新档案</x:v>
      </x:c>
      <x:c r="J10" s="28" t="str">
        <x:v>首次使用且尚无任何设施高度/位置说明；墙面结构发生改变</x:v>
      </x:c>
      <x:c r="K10" s="28" t="str">
        <x:v>不得把南城店 120—160 厘米直接写成所有门店的硬标准。</x:v>
      </x:c>
      <x:c r="L10" s="28" t="str">
        <x:v>PRJ-ADR-018; PRJ-D005-GOLD-V03; EXP-G-DISPLAY-001</x:v>
      </x:c>
      <x:c r="M10" s="28" t="str"/>
      <x:c r="N10" s="28" t="str"/>
      <x:c r="O10" s="28" t="str">
        <x:v>review_candidate</x:v>
      </x:c>
    </x:row>
    <x:row r="11">
      <x:c r="A11" s="28" t="str">
        <x:v>G-FIXTURE-004</x:v>
      </x:c>
      <x:c r="B11" s="28" t="str">
        <x:v>G02</x:v>
      </x:c>
      <x:c r="C11" s="28" t="str">
        <x:v>capacity_model</x:v>
      </x:c>
      <x:c r="D11" s="28" t="str">
        <x:v>挂杆容量必须与商品厚度、袖量和抽取便利共同理解</x:v>
      </x:c>
      <x:c r="E11" s="28" t="str">
        <x:v>conditional_rule</x:v>
      </x:c>
      <x:c r="F11" s="28" t="str">
        <x:v>挂杆的大致容量只能作为上限线索；当商品更厚、袖量更大或正挂占用空间时，可舒适陈列和拿取的实际数量会下降。</x:v>
      </x:c>
      <x:c r="G11" s="28" t="str">
        <x:v>系统需要决定上墙件数、正侧挂比例和间距</x:v>
      </x:c>
      <x:c r="H11" s="28" t="str">
        <x:v>减少挤压、遮挡与难以抽取，并保留视觉停顿</x:v>
      </x:c>
      <x:c r="I11" s="28" t="str">
        <x:v>减少数量会降低同一时间的陈列件数，但能改善使用和视觉清晰度</x:v>
      </x:c>
      <x:c r="J11" s="28" t="str">
        <x:v>任务只做概念培训而不形成当前载体的执行建议</x:v>
      </x:c>
      <x:c r="K11" s="28" t="str">
        <x:v>不得只用“可挂 20 件”推导必须挂 20 件；不得忽略正挂袖子压住侧挂商品的情况。</x:v>
      </x:c>
      <x:c r="L11" s="28" t="str">
        <x:v>PRJ-ADR-018; PRJ-D005-GOLD-V03; EXP-G-DISPLAY-001</x:v>
      </x:c>
      <x:c r="M11" s="28" t="str"/>
      <x:c r="N11" s="28" t="str">
        <x:v>DM-V16</x:v>
      </x:c>
      <x:c r="O11" s="28" t="str">
        <x:v>review_candidate</x:v>
      </x:c>
    </x:row>
    <x:row r="12">
      <x:c r="A12" s="28" t="str">
        <x:v>G-GROUP-001</x:v>
      </x:c>
      <x:c r="B12" s="28" t="str">
        <x:v>G03</x:v>
      </x:c>
      <x:c r="C12" s="28" t="str">
        <x:v>outfit_zone</x:v>
      </x:c>
      <x:c r="D12" s="28" t="str">
        <x:v>视觉陈列分组应优先形成可读的搭配区，而不是纯品类库存区</x:v>
      </x:c>
      <x:c r="E12" s="28" t="str">
        <x:v>conditional_rule</x:v>
      </x:c>
      <x:c r="F12" s="28" t="str">
        <x:v>当任务目标是墙面视觉陈列时，可将上装、外套和下装按可理解的穿着关系组织为若干搭配区；仅按衬衫、裤子、裙子集中排列容易退化为库存分类墙。</x:v>
      </x:c>
      <x:c r="G12" s="28" t="str">
        <x:v>商品之间存在可被顾客理解的穿着或视觉关系，且墙面具备上下或左右分区条件</x:v>
      </x:c>
      <x:c r="H12" s="28" t="str">
        <x:v>顾客更容易把单件商品读成可穿组合，并理解主商品的搭配方向</x:v>
      </x:c>
      <x:c r="I12" s="28" t="str">
        <x:v>过度场景化可能降低品类查找效率，应保持商品可抽取与分组边界清楚</x:v>
      </x:c>
      <x:c r="J12" s="28" t="str">
        <x:v>任务明确是品类管理、补货或快速查找；商品之间缺少任何真实关系</x:v>
      </x:c>
      <x:c r="K12" s="28" t="str">
        <x:v>不得为制造“搭配感”虚构不存在的商品或把所有品类混在一组。</x:v>
      </x:c>
      <x:c r="L12" s="28" t="str">
        <x:v>PRJ-ADR-018; PRJ-D005-GOLD-V03; EXP-G-DISPLAY-001</x:v>
      </x:c>
      <x:c r="M12" s="28" t="str">
        <x:v>B-LAYER-001</x:v>
      </x:c>
      <x:c r="N12" s="28" t="str">
        <x:v>DM-GOLD-001; DM-NEAR-001</x:v>
      </x:c>
      <x:c r="O12" s="28" t="str">
        <x:v>review_candidate</x:v>
      </x:c>
    </x:row>
    <x:row r="13">
      <x:c r="A13" s="28" t="str">
        <x:v>G-GROUP-002</x:v>
      </x:c>
      <x:c r="B13" s="28" t="str">
        <x:v>G03</x:v>
      </x:c>
      <x:c r="C13" s="28" t="str">
        <x:v>vertical_pairing</x:v>
      </x:c>
      <x:c r="D13" s="28" t="str">
        <x:v>上下层垂直对应可以强化一组穿着关系</x:v>
      </x:c>
      <x:c r="E13" s="28" t="str">
        <x:v>conditional_rule</x:v>
      </x:c>
      <x:c r="F13" s="28" t="str">
        <x:v>当墙面具有上杆和下杆时，把上方外套/上装与下方裤裙在垂直方向对应，可帮助顾客把它们读成一组；下装全部集中到一侧会削弱这种关系。</x:v>
      </x:c>
      <x:c r="G13" s="28" t="str">
        <x:v>上下杆位置可对应，且商品长度与拿取空间允许</x:v>
      </x:c>
      <x:c r="H13" s="28" t="str">
        <x:v>形成清楚的 A/B/C 搭配区和由上至下的穿着阅读</x:v>
      </x:c>
      <x:c r="I13" s="28" t="str">
        <x:v>需要避免下杆过满或上装过长遮挡；并非所有商品都必须成套对应</x:v>
      </x:c>
      <x:c r="J13" s="28" t="str">
        <x:v>墙面只有单杆；上下杆严重错位；商品长度遮挡下杆</x:v>
      </x:c>
      <x:c r="K13" s="28" t="str">
        <x:v>不得把垂直对应解释成必须成套销售；不得为了对应而把不相关商品硬配。</x:v>
      </x:c>
      <x:c r="L13" s="28" t="str">
        <x:v>PRJ-ADR-018; PRJ-D005-GOLD-V03; EXP-G-DISPLAY-001</x:v>
      </x:c>
      <x:c r="M13" s="28" t="str"/>
      <x:c r="N13" s="28" t="str">
        <x:v>DM-GOLD-001</x:v>
      </x:c>
      <x:c r="O13" s="28" t="str">
        <x:v>review_candidate</x:v>
      </x:c>
    </x:row>
    <x:row r="14">
      <x:c r="A14" s="28" t="str">
        <x:v>G-GROUP-003</x:v>
      </x:c>
      <x:c r="B14" s="28" t="str">
        <x:v>G03</x:v>
      </x:c>
      <x:c r="C14" s="28" t="str">
        <x:v>group_roles</x:v>
      </x:c>
      <x:c r="D14" s="28" t="str">
        <x:v>主商品、回应商品与基础商品承担不同视觉角色</x:v>
      </x:c>
      <x:c r="E14" s="28" t="str">
        <x:v>conditional_rule</x:v>
      </x:c>
      <x:c r="F14" s="28" t="str">
        <x:v>一面墙可以由主焦点商品、较弱的回应商品和帮助承接搭配的基础商品共同组成；角色由本次方案决定，不是商品永久属性。</x:v>
      </x:c>
      <x:c r="G14" s="28" t="str">
        <x:v>任务需要建立主次层级和多个搭配区</x:v>
      </x:c>
      <x:c r="H14" s="28" t="str">
        <x:v>主焦点先吸引注意，回应点延续关系，基础商品提供穿着连接与留白</x:v>
      </x:c>
      <x:c r="I14" s="28" t="str">
        <x:v>过强主焦点可能压制其他商品；回应过弱可能无法被识别为同一关系</x:v>
      </x:c>
      <x:c r="J14" s="28" t="str">
        <x:v>只有单件商品且单件即可完成当前陈列目标</x:v>
      </x:c>
      <x:c r="K14" s="28" t="str">
        <x:v>不得把“主商品”永久写回商品知识；不得让两个正挂点自动成为同等强度。</x:v>
      </x:c>
      <x:c r="L14" s="28" t="str">
        <x:v>PRJ-ADR-018; PRJ-D005-GOLD-V03; EXP-G-DISPLAY-001</x:v>
      </x:c>
      <x:c r="M14" s="28" t="str">
        <x:v>B-CREATIVE-002</x:v>
      </x:c>
      <x:c r="N14" s="28" t="str"/>
      <x:c r="O14" s="28" t="str">
        <x:v>review_candidate</x:v>
      </x:c>
    </x:row>
    <x:row r="15">
      <x:c r="A15" s="28" t="str">
        <x:v>G-GROUP-004</x:v>
      </x:c>
      <x:c r="B15" s="28" t="str">
        <x:v>G03</x:v>
      </x:c>
      <x:c r="C15" s="28" t="str">
        <x:v>repetition_quantity</x:v>
      </x:c>
      <x:c r="D15" s="28" t="str">
        <x:v>同一商品重复出现必须由可见关系和实际数量共同支持</x:v>
      </x:c>
      <x:c r="E15" s="28" t="str">
        <x:v>conditional_rule</x:v>
      </x:c>
      <x:c r="F15" s="28" t="str">
        <x:v>同一商品可以在不同位置承担主焦点与回应关系，但必须有足够的实际可用数量，并且重复展示能让顾客读出新的关系，而不是机械复制。</x:v>
      </x:c>
      <x:c r="G15" s="28" t="str">
        <x:v>同款具有双面、颜色、造型或组合差异，且本次清单数量允许重复展示</x:v>
      </x:c>
      <x:c r="H15" s="28" t="str">
        <x:v>可展示同一商品的不同可见面或与不同搭配区的关系</x:v>
      </x:c>
      <x:c r="I15" s="28" t="str">
        <x:v>重复占用容量并可能造成视觉冗余；数量不足时应保留更关键的位置</x:v>
      </x:c>
      <x:c r="J15" s="28" t="str">
        <x:v>只有一件实际可用商品；重复后没有新关系；商品外观不能支持所述差异</x:v>
      </x:c>
      <x:c r="K15" s="28" t="str">
        <x:v>不得用其他相似绿色商品冒充同款另一面；不得超出用户输入数量。</x:v>
      </x:c>
      <x:c r="L15" s="28" t="str">
        <x:v>PRJ-ADR-007; PRJ-ADR-018; PRJ-D005-GOLD-V03</x:v>
      </x:c>
      <x:c r="M15" s="28" t="str"/>
      <x:c r="N15" s="28" t="str">
        <x:v>DM-V14</x:v>
      </x:c>
      <x:c r="O15" s="28" t="str">
        <x:v>review_candidate</x:v>
      </x:c>
    </x:row>
    <x:row r="16">
      <x:c r="A16" s="28" t="str">
        <x:v>G-FOCUS-001</x:v>
      </x:c>
      <x:c r="B16" s="28" t="str">
        <x:v>G04</x:v>
      </x:c>
      <x:c r="C16" s="28" t="str">
        <x:v>primary_secondary_focus</x:v>
      </x:c>
      <x:c r="D16" s="28" t="str">
        <x:v>一面小型墙面应区分主焦点与次级回应</x:v>
      </x:c>
      <x:c r="E16" s="28" t="str">
        <x:v>conditional_rule</x:v>
      </x:c>
      <x:c r="F16" s="28" t="str">
        <x:v>在一组有限墙面挂杆中，通常需要一个最先被看见的主焦点；其他正挂或重复商品可以形成较弱回应，避免多个同强度中心互相争夺。</x:v>
      </x:c>
      <x:c r="G16" s="28" t="str">
        <x:v>墙面存在两个或更多潜在强视觉点</x:v>
      </x:c>
      <x:c r="H16" s="28" t="str">
        <x:v>形成清楚的第一入口和后续阅读顺序</x:v>
      </x:c>
      <x:c r="I16" s="28" t="str">
        <x:v>过度弱化其他区域会使整墙失衡，需要通过搭配区和回应关系保持连续</x:v>
      </x:c>
      <x:c r="J16" s="28" t="str">
        <x:v>空间本身采用对称双入口且品牌明确要求等强双焦点</x:v>
      </x:c>
      <x:c r="K16" s="28" t="str">
        <x:v>不得把“两个正挂点”自动解释成两个同等主焦点；不得仅用文案声明主次而画面/空间不支持。</x:v>
      </x:c>
      <x:c r="L16" s="28" t="str">
        <x:v>PRJ-ADR-018; PRJ-D005-GOLD-V03; EXP-G-DISPLAY-001</x:v>
      </x:c>
      <x:c r="M16" s="28" t="str">
        <x:v>B-CREATIVE-002</x:v>
      </x:c>
      <x:c r="N16" s="28" t="str">
        <x:v>DM-GOLD-001; DM-NEAR-001</x:v>
      </x:c>
      <x:c r="O16" s="28" t="str">
        <x:v>review_candidate</x:v>
      </x:c>
    </x:row>
    <x:row r="17">
      <x:c r="A17" s="28" t="str">
        <x:v>G-FOCUS-002</x:v>
      </x:c>
      <x:c r="B17" s="28" t="str">
        <x:v>G04</x:v>
      </x:c>
      <x:c r="C17" s="28" t="str">
        <x:v>low_saturation_focus</x:v>
      </x:c>
      <x:c r="D17" s="28" t="str">
        <x:v>低饱和商品也可通过明暗、纹理、位置与留白形成焦点</x:v>
      </x:c>
      <x:c r="E17" s="28" t="str">
        <x:v>conditional_rule</x:v>
      </x:c>
      <x:c r="F17" s="28" t="str">
        <x:v>当商品整体低饱和时，主焦点不必依赖高彩度亮色；深浅反差、唯一纹理、入口位置、较大可见面和周围留白也能共同提高可见性。</x:v>
      </x:c>
      <x:c r="G17" s="28" t="str">
        <x:v>品牌与商品以低饱和、近似色或中性色为主</x:v>
      </x:c>
      <x:c r="H17" s="28" t="str">
        <x:v>在不编造亮色商品和不违背品牌审美的情况下建立重点</x:v>
      </x:c>
      <x:c r="I17" s="28" t="str">
        <x:v>环境光、商品面积和周围颜色会改变实际效果，文字不能替代现场观察</x:v>
      </x:c>
      <x:c r="J17" s="28" t="str">
        <x:v>商品纹理和明暗在当前光线下不可见；周围商品同样强烈</x:v>
      </x:c>
      <x:c r="K17" s="28" t="str">
        <x:v>不得把“深绿格纹一定最醒目”当作普遍事实；不得为了焦点虚构不存在的亮色商品。</x:v>
      </x:c>
      <x:c r="L17" s="28" t="str">
        <x:v>PRJ-D005-GOLD-V03</x:v>
      </x:c>
      <x:c r="M17" s="28" t="str">
        <x:v>B-COLOR-002; B-COLOR-003; B-CREATIVE-001</x:v>
      </x:c>
      <x:c r="N17" s="28" t="str">
        <x:v>DM-GOLD-001</x:v>
      </x:c>
      <x:c r="O17" s="28" t="str">
        <x:v>review_candidate</x:v>
      </x:c>
    </x:row>
    <x:row r="18">
      <x:c r="A18" s="28" t="str">
        <x:v>G-FOCUS-003</x:v>
      </x:c>
      <x:c r="B18" s="28" t="str">
        <x:v>G04</x:v>
      </x:c>
      <x:c r="C18" s="28" t="str">
        <x:v>first_reading</x:v>
      </x:c>
      <x:c r="D18" s="28" t="str">
        <x:v>第一视觉入口应由位置与商品可见特征共同成立</x:v>
      </x:c>
      <x:c r="E18" s="28" t="str">
        <x:v>conditional_rule</x:v>
      </x:c>
      <x:c r="F18" s="28" t="str">
        <x:v>主焦点需要同时具备可先看到的位置和可被识别的商品特征；仅把商品放在入口侧但被遮挡，或只写“主推”却没有可见差异，都不足以形成稳定第一入口。</x:v>
      </x:c>
      <x:c r="G18" s="28" t="str">
        <x:v>需要选择主正挂或入口侧重点</x:v>
      </x:c>
      <x:c r="H18" s="28" t="str">
        <x:v>顾客更快识别本次重点和墙面阅读起点</x:v>
      </x:c>
      <x:c r="I18" s="28" t="str">
        <x:v>过度放大单件可能损害搭配关系和商品拿取</x:v>
      </x:c>
      <x:c r="J18" s="28" t="str">
        <x:v>现场遮挡、光线或固定设施使预定位置不可见</x:v>
      </x:c>
      <x:c r="K18" s="28" t="str">
        <x:v>不得只根据商品业务优先级推定视觉焦点已成立；不得让字幕或标牌替空间关系作证。</x:v>
      </x:c>
      <x:c r="L18" s="28" t="str">
        <x:v>PRJ-ADR-018; PRJ-D005-GOLD-V03; EXP-G-DISPLAY-001</x:v>
      </x:c>
      <x:c r="M18" s="28" t="str">
        <x:v>B-VIS-005</x:v>
      </x:c>
      <x:c r="N18" s="28" t="str"/>
      <x:c r="O18" s="28" t="str">
        <x:v>review_candidate</x:v>
      </x:c>
    </x:row>
    <x:row r="19">
      <x:c r="A19" s="28" t="str">
        <x:v>G-FOCUS-004</x:v>
      </x:c>
      <x:c r="B19" s="28" t="str">
        <x:v>G04</x:v>
      </x:c>
      <x:c r="C19" s="28" t="str">
        <x:v>focus_competition</x:v>
      </x:c>
      <x:c r="D19" s="28" t="str">
        <x:v>多个同强度重点会把墙面变成并列商品合集</x:v>
      </x:c>
      <x:c r="E19" s="28" t="str">
        <x:v>conditional_rule</x:v>
      </x:c>
      <x:c r="F19" s="28" t="str">
        <x:v>当多个正挂、强色块、图案和大面积商品同时以相近强度出现时，顾客难以判断先看什么；应通过数量、位置、留白或可见面积降低次级点强度。</x:v>
      </x:c>
      <x:c r="G19" s="28" t="str">
        <x:v>方案出现两个以上相互竞争的重点</x:v>
      </x:c>
      <x:c r="H19" s="28" t="str">
        <x:v>恢复主次，避免每个商品都被写成“主推”</x:v>
      </x:c>
      <x:c r="I19" s="28" t="str">
        <x:v>过度简化可能让商品丰富度不足，需要保留弱回应和搭配区</x:v>
      </x:c>
      <x:c r="J19" s="28" t="str">
        <x:v>品牌明确采用无中心、均质化陈列策略且已验证适用</x:v>
      </x:c>
      <x:c r="K19" s="28" t="str">
        <x:v>不得把所有正挂都做成同样留白、同样面积、同样强度；不得用标题给每区都命名为主区。</x:v>
      </x:c>
      <x:c r="L19" s="28" t="str">
        <x:v>PRJ-D005-GOLD-V03; EXP-G-DISPLAY-001</x:v>
      </x:c>
      <x:c r="M19" s="28" t="str">
        <x:v>B-CREATIVE-002</x:v>
      </x:c>
      <x:c r="N19" s="28" t="str"/>
      <x:c r="O19" s="28" t="str">
        <x:v>review_candidate</x:v>
      </x:c>
    </x:row>
    <x:row r="20">
      <x:c r="A20" s="28" t="str">
        <x:v>G-HANG-001</x:v>
      </x:c>
      <x:c r="B20" s="28" t="str">
        <x:v>G05</x:v>
      </x:c>
      <x:c r="C20" s="28" t="str">
        <x:v>front_vs_side_hang</x:v>
      </x:c>
      <x:c r="D20" s="28" t="str">
        <x:v>正挂用于展示可见重点，侧挂用于形成序列与便于抽取</x:v>
      </x:c>
      <x:c r="E20" s="28" t="str">
        <x:v>conditional_rule</x:v>
      </x:c>
      <x:c r="F20" s="28" t="str">
        <x:v>正挂通常提供更完整的商品正面/表面并承担重点或回应；侧挂更适合形成数量序列、颜色/品类节奏和顾客抽取。两者职责应按本次任务组织。</x:v>
      </x:c>
      <x:c r="G20" s="28" t="str">
        <x:v>载体同时支持正挂和侧挂</x:v>
      </x:c>
      <x:c r="H20" s="28" t="str">
        <x:v>兼顾视觉识别、搭配关系和操作便利</x:v>
      </x:c>
      <x:c r="I20" s="28" t="str">
        <x:v>正挂过多会挤压侧挂与留白；侧挂过密会弱化商品识别</x:v>
      </x:c>
      <x:c r="J20" s="28" t="str">
        <x:v>载体不支持稳定正挂，或商品结构不适合正面展示</x:v>
      </x:c>
      <x:c r="K20" s="28" t="str">
        <x:v>不得固定所有主商品都正挂、所有基础商品都侧挂；不得把正挂数量等同主推数量。</x:v>
      </x:c>
      <x:c r="L20" s="28" t="str">
        <x:v>PRJ-ADR-018; PRJ-D005-GOLD-V03; EXP-G-DISPLAY-001</x:v>
      </x:c>
      <x:c r="M20" s="28" t="str"/>
      <x:c r="N20" s="28" t="str">
        <x:v>DM-GOLD-001</x:v>
      </x:c>
      <x:c r="O20" s="28" t="str">
        <x:v>review_candidate</x:v>
      </x:c>
    </x:row>
    <x:row r="21">
      <x:c r="A21" s="28" t="str">
        <x:v>G-HANG-002</x:v>
      </x:c>
      <x:c r="B21" s="28" t="str">
        <x:v>G05</x:v>
      </x:c>
      <x:c r="C21" s="28" t="str">
        <x:v>rhythm_pause</x:v>
      </x:c>
      <x:c r="D21" s="28" t="str">
        <x:v>重复、分组与停顿共同形成侧挂节奏</x:v>
      </x:c>
      <x:c r="E21" s="28" t="str">
        <x:v>conditional_rule</x:v>
      </x:c>
      <x:c r="F21" s="28" t="str">
        <x:v>侧挂序列可以通过同款/近色重复建立连续，通过搭配区边界和约一衣架宽的停顿帮助分组；具体间距应随商品厚度和载体调整。</x:v>
      </x:c>
      <x:c r="G21" s="28" t="str">
        <x:v>需要在有限挂杆中组织多个搭配区或颜色/材质变化</x:v>
      </x:c>
      <x:c r="H21" s="28" t="str">
        <x:v>顾客能看见组内连续和组间边界</x:v>
      </x:c>
      <x:c r="I21" s="28" t="str">
        <x:v>停顿过多浪费容量，停顿过少使分组混在一起</x:v>
      </x:c>
      <x:c r="J21" s="28" t="str">
        <x:v>商品厚度、袖量或载体长度使固定间距不可执行</x:v>
      </x:c>
      <x:c r="K21" s="28" t="str">
        <x:v>不得把“一衣架宽”写成所有门店的精确硬标准；不得只靠标签分组而实物连续没有变化。</x:v>
      </x:c>
      <x:c r="L21" s="28" t="str">
        <x:v>PRJ-ADR-018; PRJ-D005-GOLD-V03; EXP-G-DISPLAY-001</x:v>
      </x:c>
      <x:c r="M21" s="28" t="str"/>
      <x:c r="N21" s="28" t="str"/>
      <x:c r="O21" s="28" t="str">
        <x:v>review_candidate</x:v>
      </x:c>
    </x:row>
    <x:row r="22">
      <x:c r="A22" s="28" t="str">
        <x:v>G-HANG-003</x:v>
      </x:c>
      <x:c r="B22" s="28" t="str">
        <x:v>G05</x:v>
      </x:c>
      <x:c r="C22" s="28" t="str">
        <x:v>hanger_orientation</x:v>
      </x:c>
      <x:c r="D22" s="28" t="str">
        <x:v>同组衣架方向一致有助于阅读与拿取</x:v>
      </x:c>
      <x:c r="E22" s="28" t="str">
        <x:v>conditional_rule</x:v>
      </x:c>
      <x:c r="F22" s="28" t="str">
        <x:v>同一小组内保持衣架朝向一致，通常有助于顾客理解序列、快速抽取和门店复位；跨组可以通过停顿而不是随机换向区分。</x:v>
      </x:c>
      <x:c r="G22" s="28" t="str">
        <x:v>侧挂商品由顾客或店员频繁抽取</x:v>
      </x:c>
      <x:c r="H22" s="28" t="str">
        <x:v>降低操作摩擦并减少视觉噪声</x:v>
      </x:c>
      <x:c r="I22" s="28" t="str">
        <x:v>特殊商品或固定挂点可能需要例外，不能为一致性损坏商品</x:v>
      </x:c>
      <x:c r="J22" s="28" t="str">
        <x:v>载体结构或商品结构要求不同挂法</x:v>
      </x:c>
      <x:c r="K22" s="28" t="str">
        <x:v>不得把衣架方向一致宣称为审美真理；不得以此为首期识图评分项。</x:v>
      </x:c>
      <x:c r="L22" s="28" t="str">
        <x:v>PRJ-D005-GOLD-V03; EXP-G-DISPLAY-001</x:v>
      </x:c>
      <x:c r="M22" s="28" t="str"/>
      <x:c r="N22" s="28" t="str"/>
      <x:c r="O22" s="28" t="str">
        <x:v>review_candidate</x:v>
      </x:c>
    </x:row>
    <x:row r="23">
      <x:c r="A23" s="28" t="str">
        <x:v>G-HANG-004</x:v>
      </x:c>
      <x:c r="B23" s="28" t="str">
        <x:v>G05</x:v>
      </x:c>
      <x:c r="C23" s="28" t="str">
        <x:v>two_sided_display</x:v>
      </x:c>
      <x:c r="D23" s="28" t="str">
        <x:v>双面商品的两处展示必须证明同一商品的可见差异</x:v>
      </x:c>
      <x:c r="E23" s="28" t="str">
        <x:v>conditional_rule</x:v>
      </x:c>
      <x:c r="F23" s="28" t="str">
        <x:v>同一双面商品可在主焦点和回应点展示不同外观，但应保持同款身份清楚，并由真实商品表面支持差异；不能用不同商品或仅靠文字冒充双面关系。</x:v>
      </x:c>
      <x:c r="G23" s="28" t="str">
        <x:v>商品资料确认同一商品具有两个可展示表面，且库存数量允许</x:v>
      </x:c>
      <x:c r="H23" s="28" t="str">
        <x:v>形成同一商品的视觉呼应和可穿选择想象</x:v>
      </x:c>
      <x:c r="I23" s="28" t="str">
        <x:v>两处展示会占用数量和空间；若一处失效，回应关系需要重写</x:v>
      </x:c>
      <x:c r="J23" s="28" t="str">
        <x:v>商品只有单件可用；双面外观无法在陈列状态中真实呈现</x:v>
      </x:c>
      <x:c r="K23" s="28" t="str">
        <x:v>不得把格纹/纯色分别强行绑定上班/周末等未经确认场景；不得让其他绿色商品冒充同款另一面。</x:v>
      </x:c>
      <x:c r="L23" s="28" t="str">
        <x:v>PRJ-D005-GOLD-V03; PRJ-ADR-007; EXP-G-DISPLAY-001</x:v>
      </x:c>
      <x:c r="M23" s="28" t="str"/>
      <x:c r="N23" s="28" t="str">
        <x:v>DM-V14</x:v>
      </x:c>
      <x:c r="O23" s="28" t="str">
        <x:v>review_candidate</x:v>
      </x:c>
    </x:row>
    <x:row r="24">
      <x:c r="A24" s="28" t="str">
        <x:v>G-DENSITY-001</x:v>
      </x:c>
      <x:c r="B24" s="28" t="str">
        <x:v>G06</x:v>
      </x:c>
      <x:c r="C24" s="28" t="str">
        <x:v>capacity_as_ceiling</x:v>
      </x:c>
      <x:c r="D24" s="28" t="str">
        <x:v>容量是约束上限，不是视觉目标</x:v>
      </x:c>
      <x:c r="E24" s="28" t="str">
        <x:v>conditional_rule</x:v>
      </x:c>
      <x:c r="F24" s="28" t="str">
        <x:v>挂杆档案中的容量用于防止超载和失去抽取空间；方案应根据焦点、分组和商品体积选择实际件数，不以达到上限为合格标准。</x:v>
      </x:c>
      <x:c r="G24" s="28" t="str">
        <x:v>生成实际数量与间距建议</x:v>
      </x:c>
      <x:c r="H24" s="28" t="str">
        <x:v>减少拥挤和“库存墙”，保留视觉层级</x:v>
      </x:c>
      <x:c r="I24" s="28" t="str">
        <x:v>少挂需要门店接受未上墙商品，并保留后备管理</x:v>
      </x:c>
      <x:c r="J24" s="28" t="str">
        <x:v>任务目的明确转为仓储、补货或库存容量管理</x:v>
      </x:c>
      <x:c r="K24" s="28" t="str">
        <x:v>不得把“有 20 件”直接编译为“挂 20 件”；不得把未上墙商品视为方案失败。</x:v>
      </x:c>
      <x:c r="L24" s="28" t="str">
        <x:v>PRJ-ADR-018; PRJ-D005-GOLD-V03</x:v>
      </x:c>
      <x:c r="M24" s="28" t="str">
        <x:v>G-TASK-004</x:v>
      </x:c>
      <x:c r="N24" s="28" t="str">
        <x:v>DM-GOLD-001; DM-V03; DM-V13</x:v>
      </x:c>
      <x:c r="O24" s="28" t="str">
        <x:v>review_candidate</x:v>
      </x:c>
    </x:row>
    <x:row r="25">
      <x:c r="A25" s="28" t="str">
        <x:v>G-DENSITY-002</x:v>
      </x:c>
      <x:c r="B25" s="28" t="str">
        <x:v>G06</x:v>
      </x:c>
      <x:c r="C25" s="28" t="str">
        <x:v>spacing_conditions</x:v>
      </x:c>
      <x:c r="D25" s="28" t="str">
        <x:v>间距应由商品体积、袖量、正挂占位与抽取动作共同决定</x:v>
      </x:c>
      <x:c r="E25" s="28" t="str">
        <x:v>conditional_rule</x:v>
      </x:c>
      <x:c r="F25" s="28" t="str">
        <x:v>相邻商品间距不能只用固定厘米或固定衣架数决定；商品厚度、衣袖外扩、正挂占位和顾客拿取路径变化时，应减少相邻数量或重新拉开。</x:v>
      </x:c>
      <x:c r="G25" s="28" t="str">
        <x:v>侧挂商品存在挤压、遮挡或拿取困难风险</x:v>
      </x:c>
      <x:c r="H25" s="28" t="str">
        <x:v>保持商品可见、可拿和可复位</x:v>
      </x:c>
      <x:c r="I25" s="28" t="str">
        <x:v>减少数量可能改变左右节奏，需要保持主要分组关系</x:v>
      </x:c>
      <x:c r="J25" s="28" t="str">
        <x:v>只有示意概念且不声称当前可执行</x:v>
      </x:c>
      <x:c r="K25" s="28" t="str">
        <x:v>不得把演示门店的半个/一个衣架宽固化为所有商品精确值。</x:v>
      </x:c>
      <x:c r="L25" s="28" t="str">
        <x:v>PRJ-D005-GOLD-V03; EXP-G-DISPLAY-001</x:v>
      </x:c>
      <x:c r="M25" s="28" t="str">
        <x:v>G-FIXTURE-004</x:v>
      </x:c>
      <x:c r="N25" s="28" t="str">
        <x:v>DM-V16</x:v>
      </x:c>
      <x:c r="O25" s="28" t="str">
        <x:v>review_candidate</x:v>
      </x:c>
    </x:row>
    <x:row r="26">
      <x:c r="A26" s="28" t="str">
        <x:v>G-DENSITY-003</x:v>
      </x:c>
      <x:c r="B26" s="28" t="str">
        <x:v>G06</x:v>
      </x:c>
      <x:c r="C26" s="28" t="str">
        <x:v>operability_priority</x:v>
      </x:c>
      <x:c r="D26" s="28" t="str">
        <x:v>拿取便利与商品不受挤压是首期执行方案的必要条件</x:v>
      </x:c>
      <x:c r="E26" s="28" t="str">
        <x:v>conditional_rule</x:v>
      </x:c>
      <x:c r="F26" s="28" t="str">
        <x:v>当视觉密度与商品抽取、衣袖展开或门店执行便利发生冲突时，应先减少相邻侧挂或调整间距，而不是保留满量陈列。</x:v>
      </x:c>
      <x:c r="G26" s="28" t="str">
        <x:v>执行反馈指出商品难拿、袖子压住相邻商品或需要频繁维护</x:v>
      </x:c>
      <x:c r="H26" s="28" t="str">
        <x:v>提高方案可执行性，并减少局部翻乱</x:v>
      </x:c>
      <x:c r="I26" s="28" t="str">
        <x:v>视觉饱满度下降，但主焦点和搭配关系可以保留</x:v>
      </x:c>
      <x:c r="J26" s="28" t="str">
        <x:v>反馈实际涉及主焦点缺失、动线改变或载体变化，需要整体重算</x:v>
      </x:c>
      <x:c r="K26" s="28" t="str">
        <x:v>不得把操作问题命名为巡检不合格或下发整改；不得为了维持件数把问题转移到其他区。</x:v>
      </x:c>
      <x:c r="L26" s="28" t="str">
        <x:v>PRJ-ADR-018; PRJ-D005-GOLD-V03; PRJ-ADR-006</x:v>
      </x:c>
      <x:c r="M26" s="28" t="str"/>
      <x:c r="N26" s="28" t="str">
        <x:v>DM-GOLD-002; DM-V06</x:v>
      </x:c>
      <x:c r="O26" s="28" t="str">
        <x:v>review_candidate</x:v>
      </x:c>
    </x:row>
    <x:row r="27">
      <x:c r="A27" s="28" t="str">
        <x:v>G-DENSITY-004</x:v>
      </x:c>
      <x:c r="B27" s="28" t="str">
        <x:v>G06</x:v>
      </x:c>
      <x:c r="C27" s="28" t="str">
        <x:v>local_density_adjustment</x:v>
      </x:c>
      <x:c r="D27" s="28" t="str">
        <x:v>局部挤压优先减少相邻商品，不随意移动已确认的结构锚点</x:v>
      </x:c>
      <x:c r="E27" s="28" t="str">
        <x:v>conditional_rule</x:v>
      </x:c>
      <x:c r="F27" s="28" t="str">
        <x:v>当问题只发生在某一正挂与相邻侧挂之间，且主焦点、动线、上下搭配区和库存未变时，优先减少或移开相邻侧挂，继承未受影响结构。</x:v>
      </x:c>
      <x:c r="G27" s="28" t="str">
        <x:v>自然反馈明确影响范围局部且其他条件保持不变</x:v>
      </x:c>
      <x:c r="H27" s="28" t="str">
        <x:v>用最小动作解决拿取问题，并保持方案连续</x:v>
      </x:c>
      <x:c r="I27" s="28" t="str">
        <x:v>若局部调整破坏组内连续，需要重新居中或拉开剩余商品</x:v>
      </x:c>
      <x:c r="J27" s="28" t="str">
        <x:v>主焦点商品不可用、来客方向变化、固定挂点变化或多区同时受影响</x:v>
      </x:c>
      <x:c r="K27" s="28" t="str">
        <x:v>不得每次反馈都重写整面墙；也不得在实际影响已扩散时强行局部修补。</x:v>
      </x:c>
      <x:c r="L27" s="28" t="str">
        <x:v>PRJ-D005-GOLD-V03; EXP-G-COMPILER-001</x:v>
      </x:c>
      <x:c r="M27" s="28" t="str">
        <x:v>G-REV-003</x:v>
      </x:c>
      <x:c r="N27" s="28" t="str">
        <x:v>DM-GOLD-002; DM-V06</x:v>
      </x:c>
      <x:c r="O27" s="28" t="str">
        <x:v>review_candidate</x:v>
      </x:c>
    </x:row>
    <x:row r="28">
      <x:c r="A28" s="28" t="str">
        <x:v>G-SUB-001</x:v>
      </x:c>
      <x:c r="B28" s="28" t="str">
        <x:v>G07</x:v>
      </x:c>
      <x:c r="C28" s="28" t="str">
        <x:v>same_sku_backup</x:v>
      </x:c>
      <x:c r="D28" s="28" t="str">
        <x:v>已上墙商品缺失时优先使用清单中的同款后备</x:v>
      </x:c>
      <x:c r="E28" s="28" t="str">
        <x:v>conditional_rule</x:v>
      </x:c>
      <x:c r="F28" s="28" t="str">
        <x:v>当某件已上墙商品临时不可用，而本次清单仍有未上墙同款时，应优先同款替换，以保持原方案商品关系和视觉职责。</x:v>
      </x:c>
      <x:c r="G28" s="28" t="str">
        <x:v>缺失的是具体件次而非整个 SKU，且同款后备仍在用户本次清单内</x:v>
      </x:c>
      <x:c r="H28" s="28" t="str">
        <x:v>最小化方案变化并保持商品事实忠实</x:v>
      </x:c>
      <x:c r="I28" s="28" t="str">
        <x:v>减少后备数量，可能降低后续替换弹性</x:v>
      </x:c>
      <x:c r="J28" s="28" t="str">
        <x:v>用户更正为同款实际全部不可用；同款外观/状态与方案要求不一致</x:v>
      </x:c>
      <x:c r="K28" s="28" t="str">
        <x:v>不得凭空增加同款数量；不得把相似色不同商品视为同款。</x:v>
      </x:c>
      <x:c r="L28" s="28" t="str">
        <x:v>PRJ-ADR-007; PRJ-D005-GOLD-V03</x:v>
      </x:c>
      <x:c r="M28" s="28" t="str"/>
      <x:c r="N28" s="28" t="str">
        <x:v>DM-GOLD-001; DM-V15</x:v>
      </x:c>
      <x:c r="O28" s="28" t="str">
        <x:v>review_candidate</x:v>
      </x:c>
    </x:row>
    <x:row r="29">
      <x:c r="A29" s="28" t="str">
        <x:v>G-SUB-002</x:v>
      </x:c>
      <x:c r="B29" s="28" t="str">
        <x:v>G07</x:v>
      </x:c>
      <x:c r="C29" s="28" t="str">
        <x:v>role_preserving_substitution</x:v>
      </x:c>
      <x:c r="D29" s="28" t="str">
        <x:v>同款耗尽后，替代应先保持搭配区职责而不是只追求颜色相似</x:v>
      </x:c>
      <x:c r="E29" s="28" t="str">
        <x:v>conditional_rule</x:v>
      </x:c>
      <x:c r="F29" s="28" t="str">
        <x:v>同款后备不存在时，可在本次清单中选择能保持该搭配区功能、明暗关系、量感或基础作用的商品；替代首先服务原职责，不是简单找同色。</x:v>
      </x:c>
      <x:c r="G29" s="28" t="str">
        <x:v>非主焦点商品缺失，且存在真实可用、关系相近的替代</x:v>
      </x:c>
      <x:c r="H29" s="28" t="str">
        <x:v>保持搭配区和阅读节奏，同时承认商品发生变化</x:v>
      </x:c>
      <x:c r="I29" s="28" t="str">
        <x:v>替代后部分关系可能变弱，需要重新检查数量与间距</x:v>
      </x:c>
      <x:c r="J29" s="28" t="str">
        <x:v>关键主焦点或双面回应商品全部失效；替代会改变整面墙的主线</x:v>
      </x:c>
      <x:c r="K29" s="28" t="str">
        <x:v>不得用其他绿色商品冒充同款双面关系；不得把审美相似当成商品身份相同。</x:v>
      </x:c>
      <x:c r="L29" s="28" t="str">
        <x:v>PRJ-D005-GOLD-V03; EXP-G-DISPLAY-001</x:v>
      </x:c>
      <x:c r="M29" s="28" t="str">
        <x:v>B-COLOR-002; B-SIL-003</x:v>
      </x:c>
      <x:c r="N29" s="28" t="str"/>
      <x:c r="O29" s="28" t="str">
        <x:v>review_candidate</x:v>
      </x:c>
    </x:row>
    <x:row r="30">
      <x:c r="A30" s="28" t="str">
        <x:v>G-SUB-003</x:v>
      </x:c>
      <x:c r="B30" s="28" t="str">
        <x:v>G07</x:v>
      </x:c>
      <x:c r="C30" s="28" t="str">
        <x:v>fewer_not_fill</x:v>
      </x:c>
      <x:c r="D30" s="28" t="str">
        <x:v>没有合适替代时可以少挂并重新拉开，不用无关商品补满</x:v>
      </x:c>
      <x:c r="E30" s="28" t="str">
        <x:v>conditional_rule</x:v>
      </x:c>
      <x:c r="F30" s="28" t="str">
        <x:v>当某组商品减少且清单中没有合适替代时，可以减少该组件数并重新分配间距；维持空隙通常优于跨区调用无关商品凑数量。</x:v>
      </x:c>
      <x:c r="G30" s="28" t="str">
        <x:v>缺失商品不是主焦点，且减少后搭配区仍可被理解</x:v>
      </x:c>
      <x:c r="H30" s="28" t="str">
        <x:v>保持方案诚实、可执行，并避免无关商品破坏关系</x:v>
      </x:c>
      <x:c r="I30" s="28" t="str">
        <x:v>局部视觉密度下降，需要重新居中或平衡</x:v>
      </x:c>
      <x:c r="J30" s="28" t="str">
        <x:v>减少后主焦点、搭配区或上下对应已无法成立</x:v>
      </x:c>
      <x:c r="K30" s="28" t="str">
        <x:v>不得为了“看起来满”把上杆商品移到下杆、跨区混入无关商品或超过输入数量。</x:v>
      </x:c>
      <x:c r="L30" s="28" t="str">
        <x:v>PRJ-D005-GOLD-V03; EXP-G-COMPILER-001</x:v>
      </x:c>
      <x:c r="M30" s="28" t="str">
        <x:v>G-DENSITY-001</x:v>
      </x:c>
      <x:c r="N30" s="28" t="str"/>
      <x:c r="O30" s="28" t="str">
        <x:v>review_candidate</x:v>
      </x:c>
    </x:row>
    <x:row r="31">
      <x:c r="A31" s="28" t="str">
        <x:v>G-SUB-004</x:v>
      </x:c>
      <x:c r="B31" s="28" t="str">
        <x:v>G07</x:v>
      </x:c>
      <x:c r="C31" s="28" t="str">
        <x:v>anchor_loss</x:v>
      </x:c>
      <x:c r="D31" s="28" t="str">
        <x:v>关键主焦点或核心关系失效时应重新生成，不保留旧概念</x:v>
      </x:c>
      <x:c r="E31" s="28" t="str">
        <x:v>conditional_rule</x:v>
      </x:c>
      <x:c r="F31" s="28" t="str">
        <x:v>当主焦点商品、双面回应关系、主要来客方向或关键载体条件失效时，旧方案的核心视觉逻辑已不成立，应按新输入重新生成相关区域或整面墙。</x:v>
      </x:c>
      <x:c r="G31" s="28" t="str">
        <x:v>关键商品全部不可用，或动线/载体/固定正挂条件发生改变</x:v>
      </x:c>
      <x:c r="H31" s="28" t="str">
        <x:v>避免保留没有真实依据的标题式概念和错误执行步骤</x:v>
      </x:c>
      <x:c r="I31" s="28" t="str">
        <x:v>需要比局部修订更多重算，但能避免伪继承</x:v>
      </x:c>
      <x:c r="J31" s="28" t="str">
        <x:v>只是一件同款替换、一个相邻侧挂挤压或小范围间距问题</x:v>
      </x:c>
      <x:c r="K31" s="28" t="str">
        <x:v>不得在 ZX-C218 全部不可用后仍保留“双面回应”概念；不得只改商品名而不重写结构。</x:v>
      </x:c>
      <x:c r="L31" s="28" t="str">
        <x:v>PRJ-D005-GOLD-V03; EXP-G-COMPILER-001</x:v>
      </x:c>
      <x:c r="M31" s="28" t="str">
        <x:v>G-REV-004</x:v>
      </x:c>
      <x:c r="N31" s="28" t="str">
        <x:v>DM-V04; DM-V14</x:v>
      </x:c>
      <x:c r="O31" s="28" t="str">
        <x:v>review_candidate</x:v>
      </x:c>
    </x:row>
    <x:row r="32">
      <x:c r="A32" s="28" t="str">
        <x:v>G-REV-001</x:v>
      </x:c>
      <x:c r="B32" s="28" t="str">
        <x:v>G08</x:v>
      </x:c>
      <x:c r="C32" s="28" t="str">
        <x:v>execution_order</x:v>
      </x:c>
      <x:c r="D32" s="28" t="str">
        <x:v>执行顺序应先固定结构锚点，再完成分组与间距</x:v>
      </x:c>
      <x:c r="E32" s="28" t="str">
        <x:v>conditional_rule</x:v>
      </x:c>
      <x:c r="F32" s="28" t="str">
        <x:v>墙面挂杆执行通常应先清空和分出上墙/未上墙商品，再完成主正挂与回应点，然后按搭配区挂侧挂和下杆，最后统一方向、间距和可抽取性。</x:v>
      </x:c>
      <x:c r="G32" s="28" t="str">
        <x:v>方案已形成清楚的主焦点、分组和数量</x:v>
      </x:c>
      <x:c r="H32" s="28" t="str">
        <x:v>减少边挂边改造成的结构漂移，提高门店照做效率</x:v>
      </x:c>
      <x:c r="I32" s="28" t="str">
        <x:v>现场若发现硬限制，应及时反馈并停止受影响步骤</x:v>
      </x:c>
      <x:c r="J32" s="28" t="str">
        <x:v>门店无需清空即可局部替换，或载体不支持该顺序</x:v>
      </x:c>
      <x:c r="K32" s="28" t="str">
        <x:v>不得把本顺序固化为所有陈列场景的唯一流程；不适用步骤不出现。</x:v>
      </x:c>
      <x:c r="L32" s="28" t="str">
        <x:v>PRJ-D005-GOLD-V03; EXP-G-COMPILER-001</x:v>
      </x:c>
      <x:c r="M32" s="28" t="str"/>
      <x:c r="N32" s="28" t="str"/>
      <x:c r="O32" s="28" t="str">
        <x:v>review_candidate</x:v>
      </x:c>
    </x:row>
    <x:row r="33">
      <x:c r="A33" s="28" t="str">
        <x:v>G-REV-002</x:v>
      </x:c>
      <x:c r="B33" s="28" t="str">
        <x:v>G08</x:v>
      </x:c>
      <x:c r="C33" s="28" t="str">
        <x:v>natural_feedback</x:v>
      </x:c>
      <x:c r="D33" s="28" t="str">
        <x:v>门店自然反馈是新的任务条件，不是系统巡检结论</x:v>
      </x:c>
      <x:c r="E33" s="28" t="str">
        <x:v>deterministic_fact</x:v>
      </x:c>
      <x:c r="F33" s="28" t="str">
        <x:v>门店可以用自然语言说明已经执行后的差异、拿取问题或条件变化；系统把该陈述作为用户提供的新条件，用于生成修订版，不把它改写为巡检发现、评分或整改命令。</x:v>
      </x:c>
      <x:c r="G33" s="28" t="str">
        <x:v>首期文字执行闭环的反馈语义</x:v>
      </x:c>
      <x:c r="H33" s="28" t="str">
        <x:v>反馈由门店主动提供；系统只解释影响范围并修订方案。</x:v>
      </x:c>
      <x:c r="I33" s="28" t="str"/>
      <x:c r="J33" s="28" t="str"/>
      <x:c r="K33" s="28" t="str">
        <x:v>不得生成“问题等级、整改负责人、整改期限、复核通过”等首期未建设字段。</x:v>
      </x:c>
      <x:c r="L33" s="28" t="str">
        <x:v>PRJ-ADR-006; PRJ-ADR-010; PRJ-ADR-018; PRJ-D005-GOLD-V03</x:v>
      </x:c>
      <x:c r="M33" s="28" t="str"/>
      <x:c r="N33" s="28" t="str">
        <x:v>DM-GOLD-002</x:v>
      </x:c>
      <x:c r="O33" s="28" t="str">
        <x:v>review_candidate</x:v>
      </x:c>
    </x:row>
    <x:row r="34">
      <x:c r="A34" s="28" t="str">
        <x:v>G-REV-003</x:v>
      </x:c>
      <x:c r="B34" s="28" t="str">
        <x:v>G08</x:v>
      </x:c>
      <x:c r="C34" s="28" t="str">
        <x:v>partial_revision</x:v>
      </x:c>
      <x:c r="D34" s="28" t="str">
        <x:v>修订只改变受新条件影响的部分，未受影响内容继承</x:v>
      </x:c>
      <x:c r="E34" s="28" t="str">
        <x:v>conditional_rule</x:v>
      </x:c>
      <x:c r="F34" s="28" t="str">
        <x:v>当反馈明确指出单一区域、单一商品或单一拿取问题，且其他库存、动线、焦点和挂杆条件未变时，修订版应只修改受影响部分，并明确哪些内容保持不变。</x:v>
      </x:c>
      <x:c r="G34" s="28" t="str">
        <x:v>输入包含可定位的自然反馈和未变化条件</x:v>
      </x:c>
      <x:c r="H34" s="28" t="str">
        <x:v>降低门店重新执行成本，并形成清楚版本差异</x:v>
      </x:c>
      <x:c r="I34" s="28" t="str">
        <x:v>需要确认局部变化未破坏其他分组；若影响扩散则升级为整体重算</x:v>
      </x:c>
      <x:c r="J34" s="28" t="str">
        <x:v>多个区域同时变化、关键主线失效或新目标取代旧目标</x:v>
      </x:c>
      <x:c r="K34" s="28" t="str">
        <x:v>不得把每次反馈都生成全新无关方案；不得遗漏修订后总件数和未上墙变化。</x:v>
      </x:c>
      <x:c r="L34" s="28" t="str">
        <x:v>PRJ-ADR-018; PRJ-D005-GOLD-V03; PRJ-ADR-010</x:v>
      </x:c>
      <x:c r="M34" s="28" t="str"/>
      <x:c r="N34" s="28" t="str">
        <x:v>DM-GOLD-002; DM-V22</x:v>
      </x:c>
      <x:c r="O34" s="28" t="str">
        <x:v>review_candidate</x:v>
      </x:c>
    </x:row>
    <x:row r="35">
      <x:c r="A35" s="28" t="str">
        <x:v>G-REV-004</x:v>
      </x:c>
      <x:c r="B35" s="28" t="str">
        <x:v>G08</x:v>
      </x:c>
      <x:c r="C35" s="28" t="str">
        <x:v>replan_threshold</x:v>
      </x:c>
      <x:c r="D35" s="28" t="str">
        <x:v>关键商品、目标、动线或载体改变时触发整体或结构性重算</x:v>
      </x:c>
      <x:c r="E35" s="28" t="str">
        <x:v>conditional_rule</x:v>
      </x:c>
      <x:c r="F35" s="28" t="str">
        <x:v>若主焦点商品全部不可用、特殊目标改变、主要来客方向变化、固定正挂/上下结构变化，或多区同时受影响，应重新计算焦点、分组、左右次序、数量与执行步骤。</x:v>
      </x:c>
      <x:c r="G35" s="28" t="str">
        <x:v>新条件改变原方案的主要视觉主线或空间结构</x:v>
      </x:c>
      <x:c r="H35" s="28" t="str">
        <x:v>生成与新条件一致的完整新版，而不是局部补丁堆叠</x:v>
      </x:c>
      <x:c r="I35" s="28" t="str">
        <x:v>重算成本更高，但可避免旧结构残留造成误导</x:v>
      </x:c>
      <x:c r="J35" s="28" t="str">
        <x:v>只需同款替换、减少一个相邻侧挂或微调间距</x:v>
      </x:c>
      <x:c r="K35" s="28" t="str">
        <x:v>不得机械镜像、只换商品名或保留失效标题；不得在无必要时重排全墙。</x:v>
      </x:c>
      <x:c r="L35" s="28" t="str">
        <x:v>PRJ-ADR-018; PRJ-D005-GOLD-V03; EXP-G-COMPILER-001</x:v>
      </x:c>
      <x:c r="M35" s="28" t="str"/>
      <x:c r="N35" s="28" t="str"/>
      <x:c r="O35" s="28" t="str">
        <x:v>review_candidate</x:v>
      </x:c>
    </x:row>
  </x:sheetData>
  <x:mergeCells>
    <x:mergeCell ref="A1:O1"/>
  </x:mergeCells>
  <x:dataValidations count="2">
    <x:dataValidation type="list" sqref="E4:E35">
      <x:formula1>"deterministic_fact,conditional_rule,creative_candidate"</x:formula1>
    </x:dataValidation>
    <x:dataValidation type="list" sqref="O4:O35">
      <x:formula1>"review_candidate,active,deprecated"</x:formula1>
    </x:dataValidation>
  </x:dataValidations>
  <x:pageMargins left="0.7" right="0.7" top="0.75" bottom="0.75" header="0.3" footer="0.3"/>
  <x:tableParts count="1">
    <x:tablePart xmlns:r="http://schemas.openxmlformats.org/officeDocument/2006/relationships" r:id="Ra578994e8d70488d"/>
  </x:tableParts>
</x:worksheet>
</file>

<file path=xl/worksheets/sheet4.xml><?xml version="1.0" encoding="utf-8"?>
<x:worksheet xmlns:x="http://schemas.openxmlformats.org/spreadsheetml/2006/main">
  <x:sheetFormatPr defaultRowHeight="15"/>
  <x:cols>
    <x:col min="1" max="1" width="20" hidden="0" customWidth="1"/>
    <x:col min="2" max="2" width="10" hidden="0" customWidth="1"/>
    <x:col min="3" max="3" width="36" hidden="0" customWidth="1"/>
    <x:col min="4" max="4" width="24" hidden="0" customWidth="1"/>
    <x:col min="5" max="5" width="38" hidden="0" customWidth="1"/>
    <x:col min="6" max="6" width="38" hidden="0" customWidth="1"/>
    <x:col min="7" max="7" width="38" hidden="0" customWidth="1"/>
    <x:col min="8" max="8" width="46" hidden="0" customWidth="1"/>
    <x:col min="9" max="9" width="38" hidden="0" customWidth="1"/>
    <x:col min="10" max="10" width="38" hidden="0" customWidth="1"/>
    <x:col min="11" max="11" width="30" hidden="0" customWidth="1"/>
    <x:col min="12" max="12" width="30" hidden="0" customWidth="1"/>
    <x:col min="13" max="13" width="28" hidden="0" customWidth="1"/>
    <x:col min="14" max="14" width="18" hidden="0" customWidth="1"/>
  </x:cols>
  <x:sheetData>
    <x:row r="1" ht="30" customHeight="1">
      <x:c r="A1" s="8" t="str">
        <x:v>墙面挂杆方案编译方法卡</x:v>
      </x:c>
      <x:c r="B1" s="8"/>
      <x:c r="C1" s="8"/>
      <x:c r="D1" s="8"/>
      <x:c r="E1" s="8"/>
      <x:c r="F1" s="8"/>
      <x:c r="G1" s="8"/>
      <x:c r="H1" s="8"/>
      <x:c r="I1" s="8"/>
      <x:c r="J1" s="8"/>
      <x:c r="K1" s="8"/>
      <x:c r="L1" s="8"/>
      <x:c r="M1" s="8"/>
      <x:c r="N1" s="8"/>
    </x:row>
    <x:row r="3" ht="26" customHeight="1">
      <x:c r="A3" s="24" t="str">
        <x:v>method_id</x:v>
      </x:c>
      <x:c r="B3" s="24" t="str">
        <x:v>demand_id</x:v>
      </x:c>
      <x:c r="C3" s="24" t="str">
        <x:v>name</x:v>
      </x:c>
      <x:c r="D3" s="24" t="str">
        <x:v>method_family</x:v>
      </x:c>
      <x:c r="E3" s="24" t="str">
        <x:v>use_when</x:v>
      </x:c>
      <x:c r="F3" s="24" t="str">
        <x:v>avoid_when</x:v>
      </x:c>
      <x:c r="G3" s="24" t="str">
        <x:v>required_inputs</x:v>
      </x:c>
      <x:c r="H3" s="24" t="str">
        <x:v>transformation_steps</x:v>
      </x:c>
      <x:c r="I3" s="24" t="str">
        <x:v>success_signals</x:v>
      </x:c>
      <x:c r="J3" s="24" t="str">
        <x:v>failure_patterns</x:v>
      </x:c>
      <x:c r="K3" s="24" t="str">
        <x:v>basis_refs</x:v>
      </x:c>
      <x:c r="L3" s="24" t="str">
        <x:v>related_assets</x:v>
      </x:c>
      <x:c r="M3" s="24" t="str">
        <x:v>fixtures</x:v>
      </x:c>
      <x:c r="N3" s="24" t="str">
        <x:v>status</x:v>
      </x:c>
    </x:row>
    <x:row r="4">
      <x:c r="A4" s="28" t="str">
        <x:v>GM-INTAKE-001</x:v>
      </x:c>
      <x:c r="B4" s="28" t="str">
        <x:v>GM01</x:v>
      </x:c>
      <x:c r="C4" s="28" t="str">
        <x:v>首次使用从自然说明建立最小挂杆条件档案</x:v>
      </x:c>
      <x:c r="D4" s="28" t="str">
        <x:v>display_merchandising</x:v>
      </x:c>
      <x:c r="E4" s="28" t="str">
        <x:v>• 门店首次为某一组墙面挂杆生成数据依赖执行方案
• 系统尚无该挂杆的容量结构、主要来客方向或固定限制</x:v>
      </x:c>
      <x:c r="F4" s="28" t="str">
        <x:v>• 已有有效挂杆档案且用户未说明条件变化
• 用户只要通用培训或概念建议</x:v>
      </x:c>
      <x:c r="G4" s="28" t="str">
        <x:v>• 目标门店与墙面挂杆组
• 大致容量或分层容量规则
• 上下/正侧挂结构
• 主要来客方向或可见方向
• 固定硬限制</x:v>
      </x:c>
      <x:c r="H4" s="28" t="str">
        <x:v>1. 从自然语言中提取可复用的固定条件
2. 只对会改变数量、焦点或左右结构的缺口提出一个问题
3. 生成一份用户可纠正的简短条件摘要
4. 经用户继续使用或明确认可后作为该挂杆后续任务的默认条件</x:v>
      </x:c>
      <x:c r="I4" s="28" t="str">
        <x:v>• 门店不填写复杂表单
• 固定条件在日常任务中不重复询问
• 缺少不可替代条件时只追问一次</x:v>
      </x:c>
      <x:c r="J4" s="28" t="str">
        <x:v>• 把内部字段做成长问卷
• 首次仅凭库存清单猜容量和动线
• 把一次临时限制写成永久档案</x:v>
      </x:c>
      <x:c r="K4" s="28" t="str">
        <x:v>PRJ-ADR-014; PRJ-ADR-018; PRJ-D005-GOLD-V03</x:v>
      </x:c>
      <x:c r="L4" s="28" t="str"/>
      <x:c r="M4" s="28" t="str">
        <x:v>DM-V01; DM-V21</x:v>
      </x:c>
      <x:c r="N4" s="28" t="str">
        <x:v>review_candidate</x:v>
      </x:c>
    </x:row>
    <x:row r="5">
      <x:c r="A5" s="28" t="str">
        <x:v>GM-DAILY-001</x:v>
      </x:c>
      <x:c r="B5" s="28" t="str">
        <x:v>GM01</x:v>
      </x:c>
      <x:c r="C5" s="28" t="str">
        <x:v>日常只用实际可用商品及数量形成任务</x:v>
      </x:c>
      <x:c r="D5" s="28" t="str">
        <x:v>display_merchandising</x:v>
      </x:c>
      <x:c r="E5" s="28" t="str">
        <x:v>• 挂杆固定档案和品牌当前标准已存在
• 门店每日或每次只提交本次实际可用商品清单</x:v>
      </x:c>
      <x:c r="F5" s="28" t="str">
        <x:v>• 挂杆条件已变化但未更新
• 商品清单缺少完成用户明确目标所需的关键数量</x:v>
      </x:c>
      <x:c r="G5" s="28" t="str">
        <x:v>• 有效品牌陈列标准引用
• 有效门店挂杆条件档案引用
• 本次商品与人工可用数量</x:v>
      </x:c>
      <x:c r="H5" s="28" t="str">
        <x:v>1. 将清单作为当前任务输入而非长期库存真值
2. 核对商品引用与数量是否可计算
3. 未说明特殊目标时调用品牌当前默认标准
4. 直接进入方案编译，不重复询问容量、动线和固定限制</x:v>
      </x:c>
      <x:c r="I5" s="28" t="str">
        <x:v>• 日常输入保持一条自然库存清单
• 系统不核验 ERP 真值但不改数
• 未说明目标也能按品牌标准生成</x:v>
      </x:c>
      <x:c r="J5" s="28" t="str">
        <x:v>• 每次要求重新填写门店条件
• 把清单称为实时库存或系统核验
• 默认要求上传照片</x:v>
      </x:c>
      <x:c r="K5" s="28" t="str">
        <x:v>PRJ-ADR-007; PRJ-ADR-014; PRJ-ADR-018</x:v>
      </x:c>
      <x:c r="L5" s="28" t="str"/>
      <x:c r="M5" s="28" t="str">
        <x:v>DM-GOLD-001; DM-V02</x:v>
      </x:c>
      <x:c r="N5" s="28" t="str">
        <x:v>review_candidate</x:v>
      </x:c>
    </x:row>
    <x:row r="6">
      <x:c r="A6" s="28" t="str">
        <x:v>GM-GOAL-001</x:v>
      </x:c>
      <x:c r="B6" s="28" t="str">
        <x:v>GM02</x:v>
      </x:c>
      <x:c r="C6" s="28" t="str">
        <x:v>没有特殊目标时调用品牌当前陈列标准</x:v>
      </x:c>
      <x:c r="D6" s="28" t="str">
        <x:v>display_merchandising</x:v>
      </x:c>
      <x:c r="E6" s="28" t="str">
        <x:v>• 用户只给日常库存清单
• 品牌已有当前有效的墙面挂杆视觉陈列标准</x:v>
      </x:c>
      <x:c r="F6" s="28" t="str">
        <x:v>• 用户明确提出促销、主题、主推或其他特殊目标
• 品牌标准缺失或已停用</x:v>
      </x:c>
      <x:c r="G6" s="28" t="str">
        <x:v>• 品牌当前标准
• 门店挂杆条件
• 本次库存</x:v>
      </x:c>
      <x:c r="H6" s="28" t="str">
        <x:v>1. 读取品牌当前目标和禁止项
2. 把它作为本次方案的默认方向
3. 只在库存或现场条件使标准无法成立时收窄并说明
4. 不把品牌标准扩展为总部批准状态</x:v>
      </x:c>
      <x:c r="I6" s="28" t="str">
        <x:v>• 用户不必每次重复目标
• 方案与品牌审美和层级要求一致
• 缺少特殊目标不造成追问</x:v>
      </x:c>
      <x:c r="J6" s="28" t="str">
        <x:v>• 无品牌标准仍声称品牌正式方案
• 把默认目标写成不可变模板
• 用通用陈列口号替品牌标准</x:v>
      </x:c>
      <x:c r="K6" s="28" t="str">
        <x:v>PRJ-ADR-018; PRJ-ADR-006; PRJ-STRATEGY-V1</x:v>
      </x:c>
      <x:c r="L6" s="28" t="str"/>
      <x:c r="M6" s="28" t="str">
        <x:v>DM-V07; DM-V19; DM-V23</x:v>
      </x:c>
      <x:c r="N6" s="28" t="str">
        <x:v>review_candidate</x:v>
      </x:c>
    </x:row>
    <x:row r="7">
      <x:c r="A7" s="28" t="str">
        <x:v>GM-SELECT-001</x:v>
      </x:c>
      <x:c r="B7" s="28" t="str">
        <x:v>GM03</x:v>
      </x:c>
      <x:c r="C7" s="28" t="str">
        <x:v>先选择上墙集合，再组织空间</x:v>
      </x:c>
      <x:c r="D7" s="28" t="str">
        <x:v>display_merchandising</x:v>
      </x:c>
      <x:c r="E7" s="28" t="str">
        <x:v>• 实际可用商品数量多于本次墙面适宜数量
• 库存中存在同款后备或多个相近基础商品</x:v>
      </x:c>
      <x:c r="F7" s="28" t="str">
        <x:v>• 用户任务是库存清点或要求全部陈列
• 商品数量本身不足以形成数据依赖执行方案</x:v>
      </x:c>
      <x:c r="G7" s="28" t="str">
        <x:v>• 实际可用商品与数量
• 挂杆容量结构
• 品牌标准与本次目标</x:v>
      </x:c>
      <x:c r="H7" s="28" t="str">
        <x:v>1. 识别必须出现的关键商品与关系
2. 按焦点、搭配区和操作空间选择实际上墙数量
3. 明确未上墙商品与后备职责
4. 核对选择数量不超过输入</x:v>
      </x:c>
      <x:c r="I7" s="28" t="str">
        <x:v>• 库存清单被视为候选范围
• 方案允许不满挂
• 留下可解释的后备商品</x:v>
      </x:c>
      <x:c r="J7" s="28" t="str">
        <x:v>• 机械使用全部库存
• 遗漏总件数核对
• 为了满墙加入无关商品</x:v>
      </x:c>
      <x:c r="K7" s="28" t="str">
        <x:v>PRJ-ADR-018; PRJ-D005-GOLD-V03</x:v>
      </x:c>
      <x:c r="L7" s="28" t="str">
        <x:v>G-TASK-004; G-DENSITY-001</x:v>
      </x:c>
      <x:c r="M7" s="28" t="str">
        <x:v>DM-GOLD-001; DM-V03; DM-V13</x:v>
      </x:c>
      <x:c r="N7" s="28" t="str">
        <x:v>review_candidate</x:v>
      </x:c>
    </x:row>
    <x:row r="8">
      <x:c r="A8" s="28" t="str">
        <x:v>GM-GROUP-001</x:v>
      </x:c>
      <x:c r="B8" s="28" t="str">
        <x:v>GM03</x:v>
      </x:c>
      <x:c r="C8" s="28" t="str">
        <x:v>把所选商品编译为少量可读搭配区</x:v>
      </x:c>
      <x:c r="D8" s="28" t="str">
        <x:v>display_merchandising</x:v>
      </x:c>
      <x:c r="E8" s="28" t="str">
        <x:v>• 墙面上下层可形成穿着关系
• 任务目标为视觉陈列而非品类管理</x:v>
      </x:c>
      <x:c r="F8" s="28" t="str">
        <x:v>• 商品之间没有真实可用关系
• 载体结构不支持所述上下对应</x:v>
      </x:c>
      <x:c r="G8" s="28" t="str">
        <x:v>• 所选商品及数量
• 商品品类/颜色/图案/轮廓等可用资料
• 墙面上下结构</x:v>
      </x:c>
      <x:c r="H8" s="28" t="str">
        <x:v>1. 先确定主焦点商品
2. 围绕真实商品关系形成2—4个搭配区
3. 为每区分配上杆与下杆对应
4. 检查每件商品在组内有明确职责</x:v>
      </x:c>
      <x:c r="I8" s="28" t="str">
        <x:v>• 顾客可从空间读出穿着组合
• 不是纯品类库存墙
• 搭配区数量与空间匹配</x:v>
      </x:c>
      <x:c r="J8" s="28" t="str">
        <x:v>• 把所有裤裙集中一侧
• 为了成套硬配不相关商品
• 分组过多成为搭配合集</x:v>
      </x:c>
      <x:c r="K8" s="28" t="str">
        <x:v>PRJ-D005-GOLD-V03; EXP-G-COMPILER-001</x:v>
      </x:c>
      <x:c r="L8" s="28" t="str">
        <x:v>G-GROUP-001; G-GROUP-002</x:v>
      </x:c>
      <x:c r="M8" s="28" t="str">
        <x:v>DM-GOLD-001</x:v>
      </x:c>
      <x:c r="N8" s="28" t="str">
        <x:v>review_candidate</x:v>
      </x:c>
    </x:row>
    <x:row r="9">
      <x:c r="A9" s="28" t="str">
        <x:v>GM-FOCUS-001</x:v>
      </x:c>
      <x:c r="B9" s="28" t="str">
        <x:v>GM04</x:v>
      </x:c>
      <x:c r="C9" s="28" t="str">
        <x:v>形成一个主焦点和必要的弱回应</x:v>
      </x:c>
      <x:c r="D9" s="28" t="str">
        <x:v>display_merchandising</x:v>
      </x:c>
      <x:c r="E9" s="28" t="str">
        <x:v>• 存在两个或更多可成为正挂/重点的商品
• 需要建立入口阅读顺序</x:v>
      </x:c>
      <x:c r="F9" s="28" t="str">
        <x:v>• 品牌明确要求等强双焦点并有真实依据
• 只有单件商品且单件即可成立</x:v>
      </x:c>
      <x:c r="G9" s="28" t="str">
        <x:v>• 主要来客方向
• 固定正挂点
• 商品可见差异
• 品牌视觉边界</x:v>
      </x:c>
      <x:c r="H9" s="28" t="str">
        <x:v>1. 选择最先进入视线且能由实物证明的主焦点
2. 为次级正挂降低可见面积、留白或位置强度
3. 用基础商品连接主焦点和回应点
4. 检查去掉文字后主次仍成立</x:v>
      </x:c>
      <x:c r="I9" s="28" t="str">
        <x:v>• 墙面有清楚第一入口
• 次级点能回应但不争夺
• 低饱和品牌也能靠真实关系形成重点</x:v>
      </x:c>
      <x:c r="J9" s="28" t="str">
        <x:v>• 每个区都是主推
• 只靠标牌或文字声明焦点
• 为了醒目编造亮色商品</x:v>
      </x:c>
      <x:c r="K9" s="28" t="str">
        <x:v>PRJ-D005-GOLD-V03</x:v>
      </x:c>
      <x:c r="L9" s="28" t="str">
        <x:v>G-FOCUS-001; G-FOCUS-002; B-CREATIVE-002</x:v>
      </x:c>
      <x:c r="M9" s="28" t="str">
        <x:v>DM-GOLD-001; DM-V05</x:v>
      </x:c>
      <x:c r="N9" s="28" t="str">
        <x:v>review_candidate</x:v>
      </x:c>
    </x:row>
    <x:row r="10">
      <x:c r="A10" s="28" t="str">
        <x:v>GM-LAYOUT-001</x:v>
      </x:c>
      <x:c r="B10" s="28" t="str">
        <x:v>GM05</x:v>
      </x:c>
      <x:c r="C10" s="28" t="str">
        <x:v>把搭配区映射为上下、左右和正侧挂结构</x:v>
      </x:c>
      <x:c r="D10" s="28" t="str">
        <x:v>display_merchandising</x:v>
      </x:c>
      <x:c r="E10" s="28" t="str">
        <x:v>• 墙面挂杆组具有上下杆、固定正挂或明确左右空间</x:v>
      </x:c>
      <x:c r="F10" s="28" t="str">
        <x:v>• 载体结构与当前合同不一致，如橱窗、模特或中岛
• 首次条件档案不完整且会改变布局</x:v>
      </x:c>
      <x:c r="G10" s="28" t="str">
        <x:v>• 搭配区
• 墙面结构
• 动线
• 固定正挂点
• 商品数量</x:v>
      </x:c>
      <x:c r="H10" s="28" t="str">
        <x:v>1. 从顾客面对墙的位置明确左/右
2. 先放主正挂和回应正挂
3. 将搭配区垂直对应到上下杆
4. 再分配侧挂序列和停顿
5. 核对所有位置与实际设施一致</x:v>
      </x:c>
      <x:c r="I10" s="28" t="str">
        <x:v>• 门店无需猜左右和上下
• 每组上下关系清楚
• 没有把本场景规则偷渡到其他载体</x:v>
      </x:c>
      <x:c r="J10" s="28" t="str">
        <x:v>• 只给抽象色彩顺序
• 把上杆商品移到下杆凑数
• 忽略固定正挂点</x:v>
      </x:c>
      <x:c r="K10" s="28" t="str">
        <x:v>PRJ-ADR-018; PRJ-D005-GOLD-V03</x:v>
      </x:c>
      <x:c r="L10" s="28" t="str">
        <x:v>G-FIXTURE-001; G-GROUP-002</x:v>
      </x:c>
      <x:c r="M10" s="28" t="str">
        <x:v>DM-GOLD-001; DM-V05</x:v>
      </x:c>
      <x:c r="N10" s="28" t="str">
        <x:v>review_candidate</x:v>
      </x:c>
    </x:row>
    <x:row r="11">
      <x:c r="A11" s="28" t="str">
        <x:v>GM-DENSITY-001</x:v>
      </x:c>
      <x:c r="B11" s="28" t="str">
        <x:v>GM06</x:v>
      </x:c>
      <x:c r="C11" s="28" t="str">
        <x:v>按数量、厚度和抽取性决定间距与正侧挂比例</x:v>
      </x:c>
      <x:c r="D11" s="28" t="str">
        <x:v>display_merchandising</x:v>
      </x:c>
      <x:c r="E11" s="28" t="str">
        <x:v>• 方案需要明确上墙件数、间距和拿取便利
• 商品厚度或袖量可能影响容量</x:v>
      </x:c>
      <x:c r="F11" s="28" t="str">
        <x:v>• 仅生成非执行概念案
• 缺少任何载体容量或商品数量</x:v>
      </x:c>
      <x:c r="G11" s="28" t="str">
        <x:v>• 各组商品数量
• 挂杆容量规则
• 正挂占位
• 商品大致体积或可见反馈</x:v>
      </x:c>
      <x:c r="H11" s="28" t="str">
        <x:v>1. 先确保总数不超过输入和容量
2. 为主正挂和搭配区保留必要停顿
3. 按商品体积减少相邻侧挂
4. 用相对单位表达可执行间距
5. 最后检查是否便于抽取</x:v>
      </x:c>
      <x:c r="I11" s="28" t="str">
        <x:v>• 件数、间距和正侧挂比例可照做
• 容量不是填满目标
• 厚商品会自动降低密度</x:v>
      </x:c>
      <x:c r="J11" s="28" t="str">
        <x:v>• 只给“适当留白”
• 把固定厘米当全行业标准
• 视觉饱满压过拿取便利</x:v>
      </x:c>
      <x:c r="K11" s="28" t="str">
        <x:v>PRJ-D005-GOLD-V03</x:v>
      </x:c>
      <x:c r="L11" s="28" t="str">
        <x:v>G-FIXTURE-004; G-DENSITY-002; G-DENSITY-003</x:v>
      </x:c>
      <x:c r="M11" s="28" t="str">
        <x:v>DM-GOLD-001; DM-V16</x:v>
      </x:c>
      <x:c r="N11" s="28" t="str">
        <x:v>review_candidate</x:v>
      </x:c>
    </x:row>
    <x:row r="12">
      <x:c r="A12" s="28" t="str">
        <x:v>GM-SUB-001</x:v>
      </x:c>
      <x:c r="B12" s="28" t="str">
        <x:v>GM07</x:v>
      </x:c>
      <x:c r="C12" s="28" t="str">
        <x:v>为每个关键组生成最短替代梯度</x:v>
      </x:c>
      <x:c r="D12" s="28" t="str">
        <x:v>display_merchandising</x:v>
      </x:c>
      <x:c r="E12" s="28" t="str">
        <x:v>• 本次清单存在未上墙后备或执行中可能出现商品不可用
• 方案需要门店可自行处理小变化</x:v>
      </x:c>
      <x:c r="F12" s="28" t="str">
        <x:v>• 关键主焦点全部失效，需要重新生成
• 没有任何真实可用替代</x:v>
      </x:c>
      <x:c r="G12" s="28" t="str">
        <x:v>• 已上墙商品
• 未上墙商品
• 每件商品在方案中的职责
• 实际数量</x:v>
      </x:c>
      <x:c r="H12" s="28" t="str">
        <x:v>1. 先给同款后备
2. 同款耗尽时判断是否有能保持组内职责的真实替代
3. 没有合适替代时明确少挂并拉开
4. 关键锚点失效时指示重新生成</x:v>
      </x:c>
      <x:c r="I12" s="28" t="str">
        <x:v>• 替代不超数量、不冒充商品身份
• 不为填满跨区乱调
• 门店知道何时局部处理、何时重算</x:v>
      </x:c>
      <x:c r="J12" s="28" t="str">
        <x:v>• 按颜色相似随意替换
• 没有库存也给替代
• 所有变化都重新生成全墙</x:v>
      </x:c>
      <x:c r="K12" s="28" t="str">
        <x:v>PRJ-D005-GOLD-V03</x:v>
      </x:c>
      <x:c r="L12" s="28" t="str">
        <x:v>G-SUB-001; G-SUB-002; G-SUB-003; G-SUB-004</x:v>
      </x:c>
      <x:c r="M12" s="28" t="str">
        <x:v>DM-GOLD-001; DM-V15</x:v>
      </x:c>
      <x:c r="N12" s="28" t="str">
        <x:v>review_candidate</x:v>
      </x:c>
    </x:row>
    <x:row r="13">
      <x:c r="A13" s="28" t="str">
        <x:v>GM-EXEC-001</x:v>
      </x:c>
      <x:c r="B13" s="28" t="str">
        <x:v>GM08</x:v>
      </x:c>
      <x:c r="C13" s="28" t="str">
        <x:v>把方案编译为门店可照做的文字执行顺序</x:v>
      </x:c>
      <x:c r="D13" s="28" t="str">
        <x:v>display_merchandising</x:v>
      </x:c>
      <x:c r="E13" s="28" t="str">
        <x:v>• 商品分组、位置、数量和间距已经成立
• 用户要求可直接执行的完整文字方案</x:v>
      </x:c>
      <x:c r="F13" s="28" t="str">
        <x:v>• 仍缺少不可替代的首次条件
• 用户仅要培训原理</x:v>
      </x:c>
      <x:c r="G13" s="28" t="str">
        <x:v>• 上墙选择
• 主焦点与搭配区
• 左右/上下位置
• 数量与间距
• 替代策略</x:v>
      </x:c>
      <x:c r="H13" s="28" t="str">
        <x:v>1. 先说明这版挂多少、为什么不全挂
2. 按站在顾客面对墙的位置给出搭配区表
3. 补正挂/侧挂、数量/间距和替代
4. 最后给不超过实际需要的执行步骤
5. 附一句建议属性与现实边界</x:v>
      </x:c>
      <x:c r="I13" s="28" t="str">
        <x:v>• 门店不用看抽象字段表
• 文字可直接照做
• 不适用组成不出现</x:v>
      </x:c>
      <x:c r="J13" s="28" t="str">
        <x:v>• 只有概念或原则
• 只有SKU排序没有空间结构
• 附加评分、巡检或整改任务</x:v>
      </x:c>
      <x:c r="K13" s="28" t="str">
        <x:v>PRJ-ADR-014; PRJ-ADR-018; PRJ-D005-GOLD-V03; EXP-G-COMPILER-001</x:v>
      </x:c>
      <x:c r="L13" s="28" t="str"/>
      <x:c r="M13" s="28" t="str">
        <x:v>DM-GOLD-001</x:v>
      </x:c>
      <x:c r="N13" s="28" t="str">
        <x:v>review_candidate</x:v>
      </x:c>
    </x:row>
    <x:row r="14">
      <x:c r="A14" s="28" t="str">
        <x:v>GM-FEEDBACK-001</x:v>
      </x:c>
      <x:c r="B14" s="28" t="str">
        <x:v>GM09</x:v>
      </x:c>
      <x:c r="C14" s="28" t="str">
        <x:v>从自然反馈识别变更条件与影响范围</x:v>
      </x:c>
      <x:c r="D14" s="28" t="str">
        <x:v>display_merchandising</x:v>
      </x:c>
      <x:c r="E14" s="28" t="str">
        <x:v>• 门店执行后自然说明差异、挤压、拿取或数量变化
• 需要生成新版而不是评价门店</x:v>
      </x:c>
      <x:c r="F14" s="28" t="str">
        <x:v>• 用户要求识图判断现场好坏
• 反馈不足以定位受影响部分且会改变主线</x:v>
      </x:c>
      <x:c r="G14" s="28" t="str">
        <x:v>• 当前方案版本
• 用户反馈原文
• 用户明确未变化或可推断未变化的条件</x:v>
      </x:c>
      <x:c r="H14" s="28" t="str">
        <x:v>1. 保留用户反馈原意
2. 提取发生变化的商品、区域、数量或空间条件
3. 判断主焦点、动线、搭配区和其他库存是否受影响
4. 选择局部修订或整体重算</x:v>
      </x:c>
      <x:c r="I14" s="28" t="str">
        <x:v>• 反馈成为任务输入
• 系统不打分、不定责
• 影响范围清楚</x:v>
      </x:c>
      <x:c r="J14" s="28" t="str">
        <x:v>• 把反馈改写为巡检缺陷
• 忽略用户说其他位置未变
• 凭空推断更多现场问题</x:v>
      </x:c>
      <x:c r="K14" s="28" t="str">
        <x:v>PRJ-ADR-006; PRJ-ADR-010; PRJ-ADR-018</x:v>
      </x:c>
      <x:c r="L14" s="28" t="str">
        <x:v>G-REV-002</x:v>
      </x:c>
      <x:c r="M14" s="28" t="str">
        <x:v>DM-GOLD-002; DM-V06</x:v>
      </x:c>
      <x:c r="N14" s="28" t="str">
        <x:v>review_candidate</x:v>
      </x:c>
    </x:row>
    <x:row r="15">
      <x:c r="A15" s="28" t="str">
        <x:v>GM-REVISE-001</x:v>
      </x:c>
      <x:c r="B15" s="28" t="str">
        <x:v>GM09</x:v>
      </x:c>
      <x:c r="C15" s="28" t="str">
        <x:v>只修订受影响部分并形成完整新版</x:v>
      </x:c>
      <x:c r="D15" s="28" t="str">
        <x:v>display_merchandising</x:v>
      </x:c>
      <x:c r="E15" s="28" t="str">
        <x:v>• 反馈影响范围局部
• 未受影响的焦点、分组、动线和库存仍成立</x:v>
      </x:c>
      <x:c r="F15" s="28" t="str">
        <x:v>• 主焦点/载体/动线/目标变化
• 多个区域同时失效</x:v>
      </x:c>
      <x:c r="G15" s="28" t="str">
        <x:v>• 当前方案版本
• 受影响部分
• 新条件
• 未受影响关系</x:v>
      </x:c>
      <x:c r="H15" s="28" t="str">
        <x:v>1. 明确只改哪一区域
2. 写出删除、移动、替换或重新间距的最小动作
3. 继承未变化部分
4. 重新计算总件数和后备
5. 输出完整新版中的修订摘要与执行动作</x:v>
      </x:c>
      <x:c r="I15" s="28" t="str">
        <x:v>• 门店只需做最小动作
• 版本差异可追溯
• 未受影响内容不被重写</x:v>
      </x:c>
      <x:c r="J15" s="28" t="str">
        <x:v>• 反馈一个袖子挤压却重排整墙
• 只写差异不交付可执行新版
• 漏掉总件数变化</x:v>
      </x:c>
      <x:c r="K15" s="28" t="str">
        <x:v>PRJ-D005-GOLD-V03; PRJ-ADR-010</x:v>
      </x:c>
      <x:c r="L15" s="28" t="str">
        <x:v>G-REV-003; G-DENSITY-004</x:v>
      </x:c>
      <x:c r="M15" s="28" t="str">
        <x:v>DM-GOLD-002; DM-V06; DM-V22</x:v>
      </x:c>
      <x:c r="N15" s="28" t="str">
        <x:v>review_candidate</x:v>
      </x:c>
    </x:row>
    <x:row r="16">
      <x:c r="A16" s="28" t="str">
        <x:v>GM-REPLAN-001</x:v>
      </x:c>
      <x:c r="B16" s="28" t="str">
        <x:v>GM09</x:v>
      </x:c>
      <x:c r="C16" s="28" t="str">
        <x:v>以承重变化判断局部修订还是整体重算</x:v>
      </x:c>
      <x:c r="D16" s="28" t="str">
        <x:v>display_merchandising</x:v>
      </x:c>
      <x:c r="E16" s="28" t="str">
        <x:v>• 收到商品、目标、动线、挂杆或多区变化
• 需要避免无限补丁</x:v>
      </x:c>
      <x:c r="F16" s="28" t="str">
        <x:v>• 变化只是同款替换或单一相邻商品挤压</x:v>
      </x:c>
      <x:c r="G16" s="28" t="str">
        <x:v>• 原方案承重关系
• 新条件
• 受影响区域</x:v>
      </x:c>
      <x:c r="H16" s="28" t="str">
        <x:v>1. 检查主焦点商品是否仍可用
2. 检查主要来客方向和固定正挂结构是否变化
3. 检查本次目标是否变化
4. 检查是否只有一个局部问题
5. 承重关系失效时重算，否则局部继承</x:v>
      </x:c>
      <x:c r="I16" s="28" t="str">
        <x:v>• 关键变化得到结构性新版
• 小变化不被过度重算
• 旧失效概念不会残留</x:v>
      </x:c>
      <x:c r="J16" s="28" t="str">
        <x:v>• 只换SKU名称
• 任何变化都整体重写
• 重大变化仍保留旧标题式概念</x:v>
      </x:c>
      <x:c r="K16" s="28" t="str">
        <x:v>PRJ-ADR-018; EXP-G-COMPILER-001</x:v>
      </x:c>
      <x:c r="L16" s="28" t="str">
        <x:v>G-REV-004; G-SUB-004</x:v>
      </x:c>
      <x:c r="M16" s="28" t="str">
        <x:v>DM-V04</x:v>
      </x:c>
      <x:c r="N16" s="28" t="str">
        <x:v>review_candidate</x:v>
      </x:c>
    </x:row>
    <x:row r="17">
      <x:c r="A17" s="28" t="str">
        <x:v>GM-BOUNDARY-001</x:v>
      </x:c>
      <x:c r="B17" s="28" t="str">
        <x:v>GM10</x:v>
      </x:c>
      <x:c r="C17" s="28" t="str">
        <x:v>当前成果越界时给一次最短切换或能力边界提示</x:v>
      </x:c>
      <x:c r="D17" s="28" t="str">
        <x:v>display_merchandising</x:v>
      </x:c>
      <x:c r="E17" s="28" t="str">
        <x:v>• 用户在陈列应用中要求对外内容成品
• 用户要求识图巡检、评分或下整改任务
• 用户要求系统证明已执行或已批准</x:v>
      </x:c>
      <x:c r="F17" s="28" t="str">
        <x:v>• 普通方案质量问题可在后台修订
• 用户只是自然反馈并未要求巡检</x:v>
      </x:c>
      <x:c r="G17" s="28" t="str">
        <x:v>• 当前顶层应用
• 用户明确成果要求
• 首期能力边界</x:v>
      </x:c>
      <x:c r="H17" s="28" t="str">
        <x:v>1. 识别成果是否仍属于墙面挂杆文字执行闭环
2. 若属于另一应用，建议切换一次
3. 若属于未建设能力，简短说明并提供当前可完成的替代成果
4. 不创建空任务、评分或审批状态</x:v>
      </x:c>
      <x:c r="I17" s="28" t="str">
        <x:v>• 边界清楚但不监管用户
• 只有一句可行动提示
• 仍可继续生成允许的文字方案或修订</x:v>
      </x:c>
      <x:c r="J17" s="28" t="str">
        <x:v>• 静默把陈列任务变成P5
• 假装识图巡检
• 用长篇运行报告拒绝</x:v>
      </x:c>
      <x:c r="K17" s="28" t="str">
        <x:v>PRJ-ADR-002; PRJ-ADR-006; PRJ-ADR-014; PRJ-ADR-018</x:v>
      </x:c>
      <x:c r="L17" s="28" t="str"/>
      <x:c r="M17" s="28" t="str">
        <x:v>DM-V08; DM-V09; DM-V11; DM-V12</x:v>
      </x:c>
      <x:c r="N17" s="28" t="str">
        <x:v>review_candidate</x:v>
      </x:c>
    </x:row>
  </x:sheetData>
  <x:mergeCells>
    <x:mergeCell ref="A1:N1"/>
  </x:mergeCells>
  <x:pageMargins left="0.7" right="0.7" top="0.75" bottom="0.75" header="0.3" footer="0.3"/>
  <x:tableParts count="1">
    <x:tablePart xmlns:r="http://schemas.openxmlformats.org/officeDocument/2006/relationships" r:id="Re7c3a8e056bd4231"/>
  </x:tableParts>
</x:worksheet>
</file>

<file path=xl/worksheets/sheet5.xml><?xml version="1.0" encoding="utf-8"?>
<x:worksheet xmlns:x="http://schemas.openxmlformats.org/spreadsheetml/2006/main">
  <x:sheetFormatPr defaultRowHeight="15"/>
  <x:cols>
    <x:col min="1" max="1" width="24" hidden="0" customWidth="1"/>
    <x:col min="2" max="2" width="38" hidden="0" customWidth="1"/>
    <x:col min="3" max="3" width="18" hidden="0" customWidth="1"/>
    <x:col min="4" max="4" width="22" hidden="0" customWidth="1"/>
    <x:col min="5" max="5" width="18" hidden="0" customWidth="1"/>
    <x:col min="6" max="6" width="42" hidden="0" customWidth="1"/>
    <x:col min="7" max="7" width="42" hidden="0" customWidth="1"/>
    <x:col min="8" max="8" width="42" hidden="0" customWidth="1"/>
    <x:col min="9" max="9" width="22" hidden="0" customWidth="1"/>
    <x:col min="10" max="10" width="30" hidden="0" customWidth="1"/>
    <x:col min="11" max="11" width="30" hidden="0" customWidth="1"/>
    <x:col min="12" max="12" width="30" hidden="0" customWidth="1"/>
    <x:col min="13" max="13" width="18" hidden="0" customWidth="1"/>
  </x:cols>
  <x:sheetData>
    <x:row r="1" ht="30" customHeight="1">
      <x:c r="A1" s="8" t="str">
        <x:v>陈列专属 H 评测规则</x:v>
      </x:c>
      <x:c r="B1" s="8"/>
      <x:c r="C1" s="8"/>
      <x:c r="D1" s="8"/>
      <x:c r="E1" s="8"/>
      <x:c r="F1" s="8"/>
      <x:c r="G1" s="8"/>
      <x:c r="H1" s="8"/>
      <x:c r="I1" s="8"/>
      <x:c r="J1" s="8"/>
      <x:c r="K1" s="8"/>
      <x:c r="L1" s="8"/>
      <x:c r="M1" s="8"/>
    </x:row>
    <x:row r="3" ht="26" customHeight="1">
      <x:c r="A3" s="24" t="str">
        <x:v>evaluation_rule_id</x:v>
      </x:c>
      <x:c r="B3" s="24" t="str">
        <x:v>name</x:v>
      </x:c>
      <x:c r="C3" s="24" t="str">
        <x:v>rule_type</x:v>
      </x:c>
      <x:c r="D3" s="24" t="str">
        <x:v>execution_scope</x:v>
      </x:c>
      <x:c r="E3" s="24" t="str">
        <x:v>failure_handling</x:v>
      </x:c>
      <x:c r="F3" s="24" t="str">
        <x:v>condition</x:v>
      </x:c>
      <x:c r="G3" s="24" t="str">
        <x:v>expected_result</x:v>
      </x:c>
      <x:c r="H3" s="24" t="str">
        <x:v>failure_pattern</x:v>
      </x:c>
      <x:c r="I3" s="24" t="str">
        <x:v>normative_status</x:v>
      </x:c>
      <x:c r="J3" s="24" t="str">
        <x:v>basis_refs</x:v>
      </x:c>
      <x:c r="K3" s="24" t="str">
        <x:v>related_assets</x:v>
      </x:c>
      <x:c r="L3" s="24" t="str">
        <x:v>fixtures</x:v>
      </x:c>
      <x:c r="M3" s="24" t="str">
        <x:v>status</x:v>
      </x:c>
    </x:row>
    <x:row r="4">
      <x:c r="A4" s="28" t="str">
        <x:v>H-DM-APP-001</x:v>
      </x:c>
      <x:c r="B4" s="28" t="str">
        <x:v>陈列任务必须使用 display-merchandising 合同</x:v>
      </x:c>
      <x:c r="C4" s="28" t="str">
        <x:v>hard_gate</x:v>
      </x:c>
      <x:c r="D4" s="28" t="str">
        <x:v>online_lightweight</x:v>
      </x:c>
      <x:c r="E4" s="28" t="str">
        <x:v>block</x:v>
      </x:c>
      <x:c r="F4" s="28" t="str">
        <x:v>用户要求对内墙面挂杆方案时，成果必须进入 display-merchandising 并形成 DisplayArtifact；不得路由 P1—P5。</x:v>
      </x:c>
      <x:c r="G4" s="28" t="str">
        <x:v>以组织身份、业务任务、门店条件和商品清单生成对内文字执行建议。</x:v>
      </x:c>
      <x:c r="H4" s="28" t="str">
        <x:v>生成对外平台脚本、P5 视觉内容、CTA 或 PublishingAccount 人设成品。</x:v>
      </x:c>
      <x:c r="I4" s="28" t="str">
        <x:v>adr_confirmed</x:v>
      </x:c>
      <x:c r="J4" s="28" t="str">
        <x:v>PRJ-ADR-002; PRJ-ADR-018</x:v>
      </x:c>
      <x:c r="K4" s="28" t="str"/>
      <x:c r="L4" s="28" t="str">
        <x:v>DM-V08</x:v>
      </x:c>
      <x:c r="M4" s="28" t="str">
        <x:v>review_candidate</x:v>
      </x:c>
    </x:row>
    <x:row r="5">
      <x:c r="A5" s="28" t="str">
        <x:v>H-DM-AUTH-001</x:v>
      </x:c>
      <x:c r="B5" s="28" t="str">
        <x:v>组织、门店与工作区权限隔离</x:v>
      </x:c>
      <x:c r="C5" s="28" t="str">
        <x:v>hard_gate</x:v>
      </x:c>
      <x:c r="D5" s="28" t="str">
        <x:v>online_lightweight</x:v>
      </x:c>
      <x:c r="E5" s="28" t="str">
        <x:v>block</x:v>
      </x:c>
      <x:c r="F5" s="28" t="str">
        <x:v>陈列任务必须限定在当前租户、品牌、经营主体、工作区和门店授权范围内。</x:v>
      </x:c>
      <x:c r="G5" s="28" t="str">
        <x:v>只读取当前品牌规则、当前门店固定档案及本次输入商品。</x:v>
      </x:c>
      <x:c r="H5" s="28" t="str">
        <x:v>跨租户借用商品、跨加盟店读取条件档案，或用总部身份改写独立门店执行输入。</x:v>
      </x:c>
      <x:c r="I5" s="28" t="str">
        <x:v>adr_confirmed</x:v>
      </x:c>
      <x:c r="J5" s="28" t="str">
        <x:v>PRJ-ADR-001; PRJ-ADR-006; PRJ-ADR-010; PRJ-ADR-018</x:v>
      </x:c>
      <x:c r="K5" s="28" t="str"/>
      <x:c r="L5" s="28" t="str">
        <x:v>DM-V24</x:v>
      </x:c>
      <x:c r="M5" s="28" t="str">
        <x:v>review_candidate</x:v>
      </x:c>
    </x:row>
    <x:row r="6">
      <x:c r="A6" s="28" t="str">
        <x:v>H-DM-FIRSTUSE-001</x:v>
      </x:c>
      <x:c r="B6" s="28" t="str">
        <x:v>首次数据依赖方案必须具备最小挂杆条件</x:v>
      </x:c>
      <x:c r="C6" s="28" t="str">
        <x:v>hard_gate</x:v>
      </x:c>
      <x:c r="D6" s="28" t="str">
        <x:v>online_lightweight</x:v>
      </x:c>
      <x:c r="E6" s="28" t="str">
        <x:v>degrade</x:v>
      </x:c>
      <x:c r="F6" s="28" t="str">
        <x:v>首次为该挂杆生成数量、间距和正侧挂比例时，至少需要大致容量/分层容量、结构、主要来客方向和固定硬限制。</x:v>
      </x:c>
      <x:c r="G6" s="28" t="str">
        <x:v>条件缺失且不可替代时只追问当前最关键的一项；不把内部字段变成长表单。</x:v>
      </x:c>
      <x:c r="H6" s="28" t="str">
        <x:v>首次只有库存清单仍猜出上墙数量、间距、主焦点和左右顺序；或连续追问多项。</x:v>
      </x:c>
      <x:c r="I6" s="28" t="str">
        <x:v>adr_confirmed</x:v>
      </x:c>
      <x:c r="J6" s="28" t="str">
        <x:v>PRJ-ADR-014; PRJ-ADR-018</x:v>
      </x:c>
      <x:c r="K6" s="28" t="str"/>
      <x:c r="L6" s="28" t="str">
        <x:v>DM-V01; DM-V21</x:v>
      </x:c>
      <x:c r="M6" s="28" t="str">
        <x:v>review_candidate</x:v>
      </x:c>
    </x:row>
    <x:row r="7">
      <x:c r="A7" s="28" t="str">
        <x:v>H-DM-DAILY-001</x:v>
      </x:c>
      <x:c r="B7" s="28" t="str">
        <x:v>日常任务可只提交实际可用库存清单</x:v>
      </x:c>
      <x:c r="C7" s="28" t="str">
        <x:v>hard_gate</x:v>
      </x:c>
      <x:c r="D7" s="28" t="str">
        <x:v>online_lightweight</x:v>
      </x:c>
      <x:c r="E7" s="28" t="str">
        <x:v>rewrite</x:v>
      </x:c>
      <x:c r="F7" s="28" t="str">
        <x:v>已有有效品牌标准和挂杆条件档案时，日常输入只需本次实际可用商品及数量，特殊目标和新硬限制按需补充。</x:v>
      </x:c>
      <x:c r="G7" s="28" t="str">
        <x:v>系统直接复用既有档案生成完整方案，不重复要求容量、动线、视线带或固定点。</x:v>
      </x:c>
      <x:c r="H7" s="28" t="str">
        <x:v>每次强制重新填写条件；或因用户未说明特殊目标而停止。</x:v>
      </x:c>
      <x:c r="I7" s="28" t="str">
        <x:v>adr_confirmed</x:v>
      </x:c>
      <x:c r="J7" s="28" t="str">
        <x:v>PRJ-ADR-007; PRJ-ADR-014; PRJ-ADR-018</x:v>
      </x:c>
      <x:c r="K7" s="28" t="str"/>
      <x:c r="L7" s="28" t="str">
        <x:v>DM-V02; DM-V19</x:v>
      </x:c>
      <x:c r="M7" s="28" t="str">
        <x:v>review_candidate</x:v>
      </x:c>
    </x:row>
    <x:row r="8">
      <x:c r="A8" s="28" t="str">
        <x:v>H-DM-INVENTORY-001</x:v>
      </x:c>
      <x:c r="B8" s="28" t="str">
        <x:v>人工库存只作当前任务输入且不得改数</x:v>
      </x:c>
      <x:c r="C8" s="28" t="str">
        <x:v>hard_gate</x:v>
      </x:c>
      <x:c r="D8" s="28" t="str">
        <x:v>online_lightweight</x:v>
      </x:c>
      <x:c r="E8" s="28" t="str">
        <x:v>rewrite</x:v>
      </x:c>
      <x:c r="F8" s="28" t="str">
        <x:v>用户提供的 SKU 和数量必须按原意用于本次任务，不核验真值、不扩大范围、不自动写入库存知识。</x:v>
      </x:c>
      <x:c r="G8" s="28" t="str">
        <x:v>所有上墙与后备数量总和不超过用户输入；更正后按新输入继续。</x:v>
      </x:c>
      <x:c r="H8" s="28" t="str">
        <x:v>把 3 件改成 4 件、把本次清单称为 ERP 实时库存、或跨日期/门店复用。</x:v>
      </x:c>
      <x:c r="I8" s="28" t="str">
        <x:v>adr_confirmed</x:v>
      </x:c>
      <x:c r="J8" s="28" t="str">
        <x:v>PRJ-ADR-007; PRJ-ADR-014; PRJ-ADR-018</x:v>
      </x:c>
      <x:c r="K8" s="28" t="str"/>
      <x:c r="L8" s="28" t="str">
        <x:v>DM-V03; DM-V20</x:v>
      </x:c>
      <x:c r="M8" s="28" t="str">
        <x:v>review_candidate</x:v>
      </x:c>
    </x:row>
    <x:row r="9">
      <x:c r="A9" s="28" t="str">
        <x:v>H-DM-PRODUCT-001</x:v>
      </x:c>
      <x:c r="B9" s="28" t="str">
        <x:v>执行方案不得编造商品或商品特征</x:v>
      </x:c>
      <x:c r="C9" s="28" t="str">
        <x:v>hard_gate</x:v>
      </x:c>
      <x:c r="D9" s="28" t="str">
        <x:v>online_lightweight</x:v>
      </x:c>
      <x:c r="E9" s="28" t="str">
        <x:v>rewrite</x:v>
      </x:c>
      <x:c r="F9" s="28" t="str">
        <x:v>方案中的商品身份、颜色、图案、双面、品类及可见关系必须来自当前商品资料和用户清单。</x:v>
      </x:c>
      <x:c r="G9" s="28" t="str">
        <x:v>缺少真实商品关系时缩窄方案、少挂或请求补充，不生成虚构 SKU。</x:v>
      </x:c>
      <x:c r="H9" s="28" t="str">
        <x:v>为焦点编造亮色商品、把相似绿色商品冒充双面同款、或创造不存在的裤裙。</x:v>
      </x:c>
      <x:c r="I9" s="28" t="str">
        <x:v>adr_confirmed</x:v>
      </x:c>
      <x:c r="J9" s="28" t="str">
        <x:v>PRJ-ADR-006; PRJ-ADR-007; PRJ-ADR-018</x:v>
      </x:c>
      <x:c r="K9" s="28" t="str"/>
      <x:c r="L9" s="28" t="str">
        <x:v>DM-V04; DM-V14</x:v>
      </x:c>
      <x:c r="M9" s="28" t="str">
        <x:v>review_candidate</x:v>
      </x:c>
    </x:row>
    <x:row r="10">
      <x:c r="A10" s="28" t="str">
        <x:v>H-DM-REALITY-001</x:v>
      </x:c>
      <x:c r="B10" s="28" t="str">
        <x:v>方案、用户执行声明与系统核验不得混淆</x:v>
      </x:c>
      <x:c r="C10" s="28" t="str">
        <x:v>hard_gate</x:v>
      </x:c>
      <x:c r="D10" s="28" t="str">
        <x:v>online_lightweight</x:v>
      </x:c>
      <x:c r="E10" s="28" t="str">
        <x:v>rewrite</x:v>
      </x:c>
      <x:c r="F10" s="28" t="str">
        <x:v>DisplayArtifact 是内部执行建议；门店自然反馈只作为用户提供的新条件。</x:v>
      </x:c>
      <x:c r="G10" s="28" t="str">
        <x:v>输出明确不表示总部批准、系统核验或门店已完成；可记录用户声明执行但不得声称核验。</x:v>
      </x:c>
      <x:c r="H10" s="28" t="str">
        <x:v>写成已执行、已通过、系统检查合格或总部批准。</x:v>
      </x:c>
      <x:c r="I10" s="28" t="str">
        <x:v>adr_confirmed</x:v>
      </x:c>
      <x:c r="J10" s="28" t="str">
        <x:v>PRJ-ADR-002; PRJ-ADR-006; PRJ-ADR-018</x:v>
      </x:c>
      <x:c r="K10" s="28" t="str"/>
      <x:c r="L10" s="28" t="str">
        <x:v>DM-V10</x:v>
      </x:c>
      <x:c r="M10" s="28" t="str">
        <x:v>review_candidate</x:v>
      </x:c>
    </x:row>
    <x:row r="11">
      <x:c r="A11" s="28" t="str">
        <x:v>H-DM-NOINSPECT-001</x:v>
      </x:c>
      <x:c r="B11" s="28" t="str">
        <x:v>首期不得生成识图巡检、评分或整改任务</x:v>
      </x:c>
      <x:c r="C11" s="28" t="str">
        <x:v>hard_gate</x:v>
      </x:c>
      <x:c r="D11" s="28" t="str">
        <x:v>online_lightweight</x:v>
      </x:c>
      <x:c r="E11" s="28" t="str">
        <x:v>degrade</x:v>
      </x:c>
      <x:c r="F11" s="28" t="str">
        <x:v>用户要求系统判断现场是否合格、打分、下整改任务或复核通过时，首期能力越界。</x:v>
      </x:c>
      <x:c r="G11" s="28" t="str">
        <x:v>用一句话说明不识图巡检、不评分；可继续接收自然差异并修订文字方案。</x:v>
      </x:c>
      <x:c r="H11" s="28" t="str">
        <x:v>生成问题等级、分数、整改负责人、截止时间或复核状态。</x:v>
      </x:c>
      <x:c r="I11" s="28" t="str">
        <x:v>adr_confirmed</x:v>
      </x:c>
      <x:c r="J11" s="28" t="str">
        <x:v>PRJ-ADR-002; PRJ-ADR-006; PRJ-ADR-018</x:v>
      </x:c>
      <x:c r="K11" s="28" t="str"/>
      <x:c r="L11" s="28" t="str">
        <x:v>DM-V09</x:v>
      </x:c>
      <x:c r="M11" s="28" t="str">
        <x:v>review_candidate</x:v>
      </x:c>
    </x:row>
    <x:row r="12">
      <x:c r="A12" s="28" t="str">
        <x:v>H-DM-COMPLETE-001</x:v>
      </x:c>
      <x:c r="B12" s="28" t="str">
        <x:v>墙面挂杆成品必须是完整文字执行方案</x:v>
      </x:c>
      <x:c r="C12" s="28" t="str">
        <x:v>hard_gate</x:v>
      </x:c>
      <x:c r="D12" s="28" t="str">
        <x:v>online_lightweight</x:v>
      </x:c>
      <x:c r="E12" s="28" t="str">
        <x:v>rewrite</x:v>
      </x:c>
      <x:c r="F12" s="28" t="str">
        <x:v>首次方案必须按当前任务需要交付商品分组、左右次序、正挂重点、侧挂节奏、数量/间距、替代办法和执行步骤。</x:v>
      </x:c>
      <x:c r="G12" s="28" t="str">
        <x:v>门店能够直接照做，不需要理解内部字段或自行补齐空间结构。</x:v>
      </x:c>
      <x:c r="H12" s="28" t="str">
        <x:v>只给抽象原则、色彩情绪板、SKU 列表或一句“注意留白”。</x:v>
      </x:c>
      <x:c r="I12" s="28" t="str">
        <x:v>adr_confirmed</x:v>
      </x:c>
      <x:c r="J12" s="28" t="str">
        <x:v>PRJ-ADR-014; PRJ-ADR-018; PRJ-D005-GOLD-V03</x:v>
      </x:c>
      <x:c r="K12" s="28" t="str"/>
      <x:c r="L12" s="28" t="str">
        <x:v>DM-GOLD-001; DM-NEAR-001</x:v>
      </x:c>
      <x:c r="M12" s="28" t="str">
        <x:v>review_candidate</x:v>
      </x:c>
    </x:row>
    <x:row r="13">
      <x:c r="A13" s="28" t="str">
        <x:v>H-DM-COUNT-001</x:v>
      </x:c>
      <x:c r="B13" s="28" t="str">
        <x:v>方案件数与库存、上墙和未上墙明细必须一致</x:v>
      </x:c>
      <x:c r="C13" s="28" t="str">
        <x:v>hard_gate</x:v>
      </x:c>
      <x:c r="D13" s="28" t="str">
        <x:v>online_lightweight</x:v>
      </x:c>
      <x:c r="E13" s="28" t="str">
        <x:v>rewrite</x:v>
      </x:c>
      <x:c r="F13" s="28" t="str">
        <x:v>方案声明的总上墙数、各 SKU 使用数和未上墙数必须可核对，并且不超过输入。</x:v>
      </x:c>
      <x:c r="G13" s="28" t="str">
        <x:v>初版 15 件、修订后 14 件等数量变化有明确算术依据。</x:v>
      </x:c>
      <x:c r="H13" s="28" t="str">
        <x:v>表格合计与文字不一致、减掉商品后总数未更新、或使用超过库存。</x:v>
      </x:c>
      <x:c r="I13" s="28" t="str">
        <x:v>adr_confirmed</x:v>
      </x:c>
      <x:c r="J13" s="28" t="str">
        <x:v>PRJ-ADR-007; PRJ-D005-GOLD-V03</x:v>
      </x:c>
      <x:c r="K13" s="28" t="str"/>
      <x:c r="L13" s="28" t="str">
        <x:v>DM-GOLD-001; DM-GOLD-002; DM-V03</x:v>
      </x:c>
      <x:c r="M13" s="28" t="str">
        <x:v>review_candidate</x:v>
      </x:c>
    </x:row>
    <x:row r="14">
      <x:c r="A14" s="28" t="str">
        <x:v>H-DM-GROUP-001</x:v>
      </x:c>
      <x:c r="B14" s="28" t="str">
        <x:v>视觉陈列必须形成可读搭配区而非品类容量墙</x:v>
      </x:c>
      <x:c r="C14" s="28" t="str">
        <x:v>quality_criterion</x:v>
      </x:c>
      <x:c r="D14" s="28" t="str">
        <x:v>online_lightweight</x:v>
      </x:c>
      <x:c r="E14" s="28" t="str">
        <x:v>rewrite</x:v>
      </x:c>
      <x:c r="F14" s="28" t="str">
        <x:v>墙面应以真实商品穿着/视觉关系形成少量搭配区，并在上下层保持可读对应。</x:v>
      </x:c>
      <x:c r="G14" s="28" t="str">
        <x:v>顾客能看见 A/B/C 等关系，而不是衬衫一堆、裤子一堆。</x:v>
      </x:c>
      <x:c r="H14" s="28" t="str">
        <x:v>主要按品类和容量组织，缺少上下搭配关系。</x:v>
      </x:c>
      <x:c r="I14" s="28" t="str">
        <x:v>adr_confirmed</x:v>
      </x:c>
      <x:c r="J14" s="28" t="str">
        <x:v>PRJ-ADR-018; PRJ-D005-GOLD-V03</x:v>
      </x:c>
      <x:c r="K14" s="28" t="str"/>
      <x:c r="L14" s="28" t="str">
        <x:v>DM-NEAR-001</x:v>
      </x:c>
      <x:c r="M14" s="28" t="str">
        <x:v>review_candidate</x:v>
      </x:c>
    </x:row>
    <x:row r="15">
      <x:c r="A15" s="28" t="str">
        <x:v>H-DM-FOCUS-001</x:v>
      </x:c>
      <x:c r="B15" s="28" t="str">
        <x:v>方案必须有一个清楚主焦点和较弱回应</x:v>
      </x:c>
      <x:c r="C15" s="28" t="str">
        <x:v>quality_criterion</x:v>
      </x:c>
      <x:c r="D15" s="28" t="str">
        <x:v>online_lightweight</x:v>
      </x:c>
      <x:c r="E15" s="28" t="str">
        <x:v>rewrite</x:v>
      </x:c>
      <x:c r="F15" s="28" t="str">
        <x:v>存在多个正挂或强视觉点时，必须通过位置、面积、明暗、纹理或留白形成主次。</x:v>
      </x:c>
      <x:c r="G15" s="28" t="str">
        <x:v>主要来客方向先看见主正挂，回应点延续但不争夺。</x:v>
      </x:c>
      <x:c r="H15" s="28" t="str">
        <x:v>两个正挂同样强、每区都是主推、只靠标题宣布重点。</x:v>
      </x:c>
      <x:c r="I15" s="28" t="str">
        <x:v>adr_confirmed</x:v>
      </x:c>
      <x:c r="J15" s="28" t="str">
        <x:v>PRJ-ADR-018; PRJ-D005-GOLD-V03</x:v>
      </x:c>
      <x:c r="K15" s="28" t="str"/>
      <x:c r="L15" s="28" t="str">
        <x:v>DM-GOLD-001; DM-V05</x:v>
      </x:c>
      <x:c r="M15" s="28" t="str">
        <x:v>review_candidate</x:v>
      </x:c>
    </x:row>
    <x:row r="16">
      <x:c r="A16" s="28" t="str">
        <x:v>H-DM-BRAND-001</x:v>
      </x:c>
      <x:c r="B16" s="28" t="str">
        <x:v>品牌陈列标准必须实质改变方案</x:v>
      </x:c>
      <x:c r="C16" s="28" t="str">
        <x:v>quality_criterion</x:v>
      </x:c>
      <x:c r="D16" s="28" t="str">
        <x:v>online_lightweight</x:v>
      </x:c>
      <x:c r="E16" s="28" t="str">
        <x:v>rewrite</x:v>
      </x:c>
      <x:c r="F16" s="28" t="str">
        <x:v>品牌当前标准应影响焦点选择、色彩/纹理组织、密度、主次或禁止项；缺失时只能给通用候选。</x:v>
      </x:c>
      <x:c r="G16" s="28" t="str">
        <x:v>换品牌后布局逻辑和视觉组织应按新标准重写，而非只换名称。</x:v>
      </x:c>
      <x:c r="H16" s="28" t="str">
        <x:v>品牌标准未参与，或用通用“高级、整齐、同色系”冒充品牌方案。</x:v>
      </x:c>
      <x:c r="I16" s="28" t="str">
        <x:v>adr_confirmed</x:v>
      </x:c>
      <x:c r="J16" s="28" t="str">
        <x:v>PRJ-STRATEGY-V1; PRJ-ADR-018</x:v>
      </x:c>
      <x:c r="K16" s="28" t="str"/>
      <x:c r="L16" s="28" t="str">
        <x:v>DM-V07; DM-V23</x:v>
      </x:c>
      <x:c r="M16" s="28" t="str">
        <x:v>review_candidate</x:v>
      </x:c>
    </x:row>
    <x:row r="17">
      <x:c r="A17" s="28" t="str">
        <x:v>H-DM-FLOW-001</x:v>
      </x:c>
      <x:c r="B17" s="28" t="str">
        <x:v>主要来客方向必须参与左右阅读顺序</x:v>
      </x:c>
      <x:c r="C17" s="28" t="str">
        <x:v>quality_criterion</x:v>
      </x:c>
      <x:c r="D17" s="28" t="str">
        <x:v>online_lightweight</x:v>
      </x:c>
      <x:c r="E17" s="28" t="str">
        <x:v>rewrite</x:v>
      </x:c>
      <x:c r="F17" s="28" t="str">
        <x:v>门店已有主要来客方向时，主焦点和左右次序应与其一致；方向变化属于承重条件。</x:v>
      </x:c>
      <x:c r="G17" s="28" t="str">
        <x:v>左侧来客时入口主焦点在可先见位置；方向变化后结构重写。</x:v>
      </x:c>
      <x:c r="H17" s="28" t="str">
        <x:v>动线变化后只机械镜像文字，或完全不考虑入口。</x:v>
      </x:c>
      <x:c r="I17" s="28" t="str">
        <x:v>adr_confirmed</x:v>
      </x:c>
      <x:c r="J17" s="28" t="str">
        <x:v>PRJ-ADR-018; PRJ-D005-GOLD-V03</x:v>
      </x:c>
      <x:c r="K17" s="28" t="str"/>
      <x:c r="L17" s="28" t="str">
        <x:v>DM-V05</x:v>
      </x:c>
      <x:c r="M17" s="28" t="str">
        <x:v>review_candidate</x:v>
      </x:c>
    </x:row>
    <x:row r="18">
      <x:c r="A18" s="28" t="str">
        <x:v>H-DM-HANG-001</x:v>
      </x:c>
      <x:c r="B18" s="28" t="str">
        <x:v>正挂、侧挂与上下杆职责必须清楚</x:v>
      </x:c>
      <x:c r="C18" s="28" t="str">
        <x:v>quality_criterion</x:v>
      </x:c>
      <x:c r="D18" s="28" t="str">
        <x:v>online_lightweight</x:v>
      </x:c>
      <x:c r="E18" s="28" t="str">
        <x:v>rewrite</x:v>
      </x:c>
      <x:c r="F18" s="28" t="str">
        <x:v>方案需要说明主/回应正挂、侧挂序列及上下层对应；不把所有商品放成单层列表。</x:v>
      </x:c>
      <x:c r="G18" s="28" t="str">
        <x:v>正挂承担重点/回应，侧挂形成节奏和可抽取序列，下杆对应上方搭配区。</x:v>
      </x:c>
      <x:c r="H18" s="28" t="str">
        <x:v>只有左右 SKU 排列，没有正侧挂和上下关系。</x:v>
      </x:c>
      <x:c r="I18" s="28" t="str">
        <x:v>adr_confirmed</x:v>
      </x:c>
      <x:c r="J18" s="28" t="str">
        <x:v>PRJ-ADR-018; PRJ-D005-GOLD-V03</x:v>
      </x:c>
      <x:c r="K18" s="28" t="str"/>
      <x:c r="L18" s="28" t="str">
        <x:v>DM-GOLD-001; DM-NEAR-001</x:v>
      </x:c>
      <x:c r="M18" s="28" t="str">
        <x:v>review_candidate</x:v>
      </x:c>
    </x:row>
    <x:row r="19">
      <x:c r="A19" s="28" t="str">
        <x:v>H-DM-DENSITY-001</x:v>
      </x:c>
      <x:c r="B19" s="28" t="str">
        <x:v>数量与间距必须兼顾厚度、袖量和抽取便利</x:v>
      </x:c>
      <x:c r="C19" s="28" t="str">
        <x:v>quality_criterion</x:v>
      </x:c>
      <x:c r="D19" s="28" t="str">
        <x:v>online_lightweight</x:v>
      </x:c>
      <x:c r="E19" s="28" t="str">
        <x:v>rewrite</x:v>
      </x:c>
      <x:c r="F19" s="28" t="str">
        <x:v>方案应在大致容量内保留焦点周围停顿，并在商品挤压或难取时减少相邻侧挂。</x:v>
      </x:c>
      <x:c r="G19" s="28" t="str">
        <x:v>容量是上限而非填满目标；操作问题优先用局部减量解决。</x:v>
      </x:c>
      <x:c r="H19" s="28" t="str">
        <x:v>满量陈列、袖子压住相邻商品仍不调整、或只写“适当留白”。</x:v>
      </x:c>
      <x:c r="I19" s="28" t="str">
        <x:v>adr_confirmed</x:v>
      </x:c>
      <x:c r="J19" s="28" t="str">
        <x:v>PRJ-ADR-018; PRJ-D005-GOLD-V03</x:v>
      </x:c>
      <x:c r="K19" s="28" t="str"/>
      <x:c r="L19" s="28" t="str">
        <x:v>DM-V06; DM-V13; DM-V16</x:v>
      </x:c>
      <x:c r="M19" s="28" t="str">
        <x:v>review_candidate</x:v>
      </x:c>
    </x:row>
    <x:row r="20">
      <x:c r="A20" s="28" t="str">
        <x:v>H-DM-SUB-001</x:v>
      </x:c>
      <x:c r="B20" s="28" t="str">
        <x:v>替代顺序必须忠实库存并保护原职责</x:v>
      </x:c>
      <x:c r="C20" s="28" t="str">
        <x:v>quality_criterion</x:v>
      </x:c>
      <x:c r="D20" s="28" t="str">
        <x:v>online_lightweight</x:v>
      </x:c>
      <x:c r="E20" s="28" t="str">
        <x:v>rewrite</x:v>
      </x:c>
      <x:c r="F20" s="28" t="str">
        <x:v>替代先用本次清单中的同款后备；无同款时只用能保持组内职责的真实商品；否则少挂。</x:v>
      </x:c>
      <x:c r="G20" s="28" t="str">
        <x:v>关键主焦点全部失效时重新生成，不保留旧概念。</x:v>
      </x:c>
      <x:c r="H20" s="28" t="str">
        <x:v>凭空创造后备、按颜色相似冒充同款、用无关商品补满。</x:v>
      </x:c>
      <x:c r="I20" s="28" t="str">
        <x:v>adr_confirmed</x:v>
      </x:c>
      <x:c r="J20" s="28" t="str">
        <x:v>PRJ-ADR-018; PRJ-D005-GOLD-V03</x:v>
      </x:c>
      <x:c r="K20" s="28" t="str"/>
      <x:c r="L20" s="28" t="str">
        <x:v>DM-V04; DM-V14; DM-V15</x:v>
      </x:c>
      <x:c r="M20" s="28" t="str">
        <x:v>review_candidate</x:v>
      </x:c>
    </x:row>
    <x:row r="21">
      <x:c r="A21" s="28" t="str">
        <x:v>H-DM-STEPS-001</x:v>
      </x:c>
      <x:c r="B21" s="28" t="str">
        <x:v>执行步骤必须按结构锚点到细节收敛</x:v>
      </x:c>
      <x:c r="C21" s="28" t="str">
        <x:v>quality_criterion</x:v>
      </x:c>
      <x:c r="D21" s="28" t="str">
        <x:v>online_lightweight</x:v>
      </x:c>
      <x:c r="E21" s="28" t="str">
        <x:v>rewrite</x:v>
      </x:c>
      <x:c r="F21" s="28" t="str">
        <x:v>执行步骤应先分出上墙商品，再完成主正挂/回应点、搭配区、方向与间距。</x:v>
      </x:c>
      <x:c r="G21" s="28" t="str">
        <x:v>门店按顺序操作即可完成，不需自行推理布局。</x:v>
      </x:c>
      <x:c r="H21" s="28" t="str">
        <x:v>步骤与方案表不一致、先塞满再调整、或包含不适用动作。</x:v>
      </x:c>
      <x:c r="I21" s="28" t="str">
        <x:v>adr_confirmed</x:v>
      </x:c>
      <x:c r="J21" s="28" t="str">
        <x:v>PRJ-ADR-018; PRJ-D005-GOLD-V03</x:v>
      </x:c>
      <x:c r="K21" s="28" t="str"/>
      <x:c r="L21" s="28" t="str">
        <x:v>DM-GOLD-001</x:v>
      </x:c>
      <x:c r="M21" s="28" t="str">
        <x:v>review_candidate</x:v>
      </x:c>
    </x:row>
    <x:row r="22">
      <x:c r="A22" s="28" t="str">
        <x:v>H-DM-REVISION-001</x:v>
      </x:c>
      <x:c r="B22" s="28" t="str">
        <x:v>自然反馈后只修订受影响部分</x:v>
      </x:c>
      <x:c r="C22" s="28" t="str">
        <x:v>hard_gate</x:v>
      </x:c>
      <x:c r="D22" s="28" t="str">
        <x:v>online_lightweight</x:v>
      </x:c>
      <x:c r="E22" s="28" t="str">
        <x:v>rewrite</x:v>
      </x:c>
      <x:c r="F22" s="28" t="str">
        <x:v>反馈仅影响单一区域且其他库存、动线和结构未变时，系统必须继承未受影响部分并形成新版。</x:v>
      </x:c>
      <x:c r="G22" s="28" t="str">
        <x:v>明确改变哪一件、哪一位置、总件数如何变化，其他区不动。</x:v>
      </x:c>
      <x:c r="H22" s="28" t="str">
        <x:v>一个袖子挤压导致整墙重排，或只给评价不交付修订方案。</x:v>
      </x:c>
      <x:c r="I22" s="28" t="str">
        <x:v>adr_confirmed</x:v>
      </x:c>
      <x:c r="J22" s="28" t="str">
        <x:v>PRJ-ADR-010; PRJ-ADR-018; PRJ-D005-GOLD-V03</x:v>
      </x:c>
      <x:c r="K22" s="28" t="str"/>
      <x:c r="L22" s="28" t="str">
        <x:v>DM-GOLD-002; DM-V06; DM-V22</x:v>
      </x:c>
      <x:c r="M22" s="28" t="str">
        <x:v>review_candidate</x:v>
      </x:c>
    </x:row>
    <x:row r="23">
      <x:c r="A23" s="28" t="str">
        <x:v>H-DM-OFFLINE-FIRST-001</x:v>
      </x:c>
      <x:c r="B23" s="28" t="str">
        <x:v>首次只有库存时必须最小追问</x:v>
      </x:c>
      <x:c r="C23" s="28" t="str">
        <x:v>offline_test</x:v>
      </x:c>
      <x:c r="D23" s="28" t="str">
        <x:v>offline_gold</x:v>
      </x:c>
      <x:c r="E23" s="28" t="str">
        <x:v>record_only</x:v>
      </x:c>
      <x:c r="F23" s="28" t="str">
        <x:v>移除南城店既有挂杆条件，只保留库存清单。</x:v>
      </x:c>
      <x:c r="G23" s="28" t="str">
        <x:v>只询问会改变数量/布局的一个关键条件，不能直接生成精确方案。</x:v>
      </x:c>
      <x:c r="H23" s="28" t="str">
        <x:v>猜容量、动线和固定点，或弹出完整表单。</x:v>
      </x:c>
      <x:c r="I23" s="28" t="str">
        <x:v>adr_confirmed</x:v>
      </x:c>
      <x:c r="J23" s="28" t="str">
        <x:v>PRJ-ADR-018</x:v>
      </x:c>
      <x:c r="K23" s="28" t="str"/>
      <x:c r="L23" s="28" t="str">
        <x:v>DM-V01; DM-V21</x:v>
      </x:c>
      <x:c r="M23" s="28" t="str">
        <x:v>review_candidate</x:v>
      </x:c>
    </x:row>
    <x:row r="24">
      <x:c r="A24" s="28" t="str">
        <x:v>H-DM-OFFLINE-DAILY-001</x:v>
      </x:c>
      <x:c r="B24" s="28" t="str">
        <x:v>日常只交库存仍应生成完整方案</x:v>
      </x:c>
      <x:c r="C24" s="28" t="str">
        <x:v>offline_test</x:v>
      </x:c>
      <x:c r="D24" s="28" t="str">
        <x:v>offline_gold</x:v>
      </x:c>
      <x:c r="E24" s="28" t="str">
        <x:v>record_only</x:v>
      </x:c>
      <x:c r="F24" s="28" t="str">
        <x:v>保留有效品牌标准和挂杆档案，只输入当天库存清单。</x:v>
      </x:c>
      <x:c r="G24" s="28" t="str">
        <x:v>直接生成完整文字执行方案，不追问重复条件。</x:v>
      </x:c>
      <x:c r="H24" s="28" t="str">
        <x:v>要求再次填写目标、容量、动线或上传照片。</x:v>
      </x:c>
      <x:c r="I24" s="28" t="str">
        <x:v>adr_confirmed</x:v>
      </x:c>
      <x:c r="J24" s="28" t="str">
        <x:v>PRJ-ADR-018</x:v>
      </x:c>
      <x:c r="K24" s="28" t="str"/>
      <x:c r="L24" s="28" t="str">
        <x:v>DM-V02</x:v>
      </x:c>
      <x:c r="M24" s="28" t="str">
        <x:v>review_candidate</x:v>
      </x:c>
    </x:row>
    <x:row r="25">
      <x:c r="A25" s="28" t="str">
        <x:v>H-DM-OFFLINE-PRODUCT-001</x:v>
      </x:c>
      <x:c r="B25" s="28" t="str">
        <x:v>主焦点商品变化必须重写承重结构</x:v>
      </x:c>
      <x:c r="C25" s="28" t="str">
        <x:v>offline_test</x:v>
      </x:c>
      <x:c r="D25" s="28" t="str">
        <x:v>offline_regression</x:v>
      </x:c>
      <x:c r="E25" s="28" t="str">
        <x:v>record_only</x:v>
      </x:c>
      <x:c r="F25" s="28" t="str">
        <x:v>删除或替换主焦点商品，其他条件保持。</x:v>
      </x:c>
      <x:c r="G25" s="28" t="str">
        <x:v>焦点、搭配区、左右次序和替代策略按新商品重写。</x:v>
      </x:c>
      <x:c r="H25" s="28" t="str">
        <x:v>只换 SKU 名仍保留双面/格纹主线。</x:v>
      </x:c>
      <x:c r="I25" s="28" t="str">
        <x:v>adr_confirmed</x:v>
      </x:c>
      <x:c r="J25" s="28" t="str">
        <x:v>PRJ-D005-GOLD-V03</x:v>
      </x:c>
      <x:c r="K25" s="28" t="str"/>
      <x:c r="L25" s="28" t="str">
        <x:v>DM-V04; DM-V14</x:v>
      </x:c>
      <x:c r="M25" s="28" t="str">
        <x:v>review_candidate</x:v>
      </x:c>
    </x:row>
    <x:row r="26">
      <x:c r="A26" s="28" t="str">
        <x:v>H-DM-OFFLINE-FLOW-001</x:v>
      </x:c>
      <x:c r="B26" s="28" t="str">
        <x:v>来客方向变化必须重写焦点与阅读顺序</x:v>
      </x:c>
      <x:c r="C26" s="28" t="str">
        <x:v>offline_test</x:v>
      </x:c>
      <x:c r="D26" s="28" t="str">
        <x:v>offline_regression</x:v>
      </x:c>
      <x:c r="E26" s="28" t="str">
        <x:v>record_only</x:v>
      </x:c>
      <x:c r="F26" s="28" t="str">
        <x:v>把主要来客方向从左侧改为右侧，其他条件不变。</x:v>
      </x:c>
      <x:c r="G26" s="28" t="str">
        <x:v>重新判断主焦点位置和各区顺序，并考虑固定正挂位置。</x:v>
      </x:c>
      <x:c r="H26" s="28" t="str">
        <x:v>不变化，或简单左右镜像而忽略设施。</x:v>
      </x:c>
      <x:c r="I26" s="28" t="str">
        <x:v>adr_confirmed</x:v>
      </x:c>
      <x:c r="J26" s="28" t="str">
        <x:v>PRJ-D005-GOLD-V03</x:v>
      </x:c>
      <x:c r="K26" s="28" t="str"/>
      <x:c r="L26" s="28" t="str">
        <x:v>DM-V05</x:v>
      </x:c>
      <x:c r="M26" s="28" t="str">
        <x:v>review_candidate</x:v>
      </x:c>
    </x:row>
    <x:row r="27">
      <x:c r="A27" s="28" t="str">
        <x:v>H-DM-OFFLINE-CARRIER-001</x:v>
      </x:c>
      <x:c r="B27" s="28" t="str">
        <x:v>区域或载体变化必须退出当前合同</x:v>
      </x:c>
      <x:c r="C27" s="28" t="str">
        <x:v>offline_test</x:v>
      </x:c>
      <x:c r="D27" s="28" t="str">
        <x:v>offline_regression</x:v>
      </x:c>
      <x:c r="E27" s="28" t="str">
        <x:v>record_only</x:v>
      </x:c>
      <x:c r="F27" s="28" t="str">
        <x:v>把墙面挂杆改为橱窗、模特或中岛。</x:v>
      </x:c>
      <x:c r="G27" s="28" t="str">
        <x:v>退出 DM01 墙面挂杆合同，进入后续对应组合；不得套用当前知识清单。</x:v>
      </x:c>
      <x:c r="H27" s="28" t="str">
        <x:v>仅替换场景名继续使用上下杆/正侧挂规则。</x:v>
      </x:c>
      <x:c r="I27" s="28" t="str">
        <x:v>adr_confirmed</x:v>
      </x:c>
      <x:c r="J27" s="28" t="str">
        <x:v>PRJ-ADR-002; PRJ-ADR-018</x:v>
      </x:c>
      <x:c r="K27" s="28" t="str"/>
      <x:c r="L27" s="28" t="str">
        <x:v>DM-V11; DM-V12</x:v>
      </x:c>
      <x:c r="M27" s="28" t="str">
        <x:v>review_candidate</x:v>
      </x:c>
    </x:row>
    <x:row r="28">
      <x:c r="A28" s="28" t="str">
        <x:v>H-DM-OFFLINE-BRAND-001</x:v>
      </x:c>
      <x:c r="B28" s="28" t="str">
        <x:v>换品牌后视觉组织必须随品牌标准变化</x:v>
      </x:c>
      <x:c r="C28" s="28" t="str">
        <x:v>offline_test</x:v>
      </x:c>
      <x:c r="D28" s="28" t="str">
        <x:v>offline_regression</x:v>
      </x:c>
      <x:c r="E28" s="28" t="str">
        <x:v>record_only</x:v>
      </x:c>
      <x:c r="F28" s="28" t="str">
        <x:v>保持商品和挂杆条件，替换品牌陈列标准。</x:v>
      </x:c>
      <x:c r="G28" s="28" t="str">
        <x:v>焦点、密度、分组与视觉节奏按新标准实质变化；不得跨租户借用规则。</x:v>
      </x:c>
      <x:c r="H28" s="28" t="str">
        <x:v>只换品牌名，结构完全相同；或调用其他租户商品。</x:v>
      </x:c>
      <x:c r="I28" s="28" t="str">
        <x:v>adr_confirmed</x:v>
      </x:c>
      <x:c r="J28" s="28" t="str">
        <x:v>PRJ-ADR-001; PRJ-ADR-018</x:v>
      </x:c>
      <x:c r="K28" s="28" t="str"/>
      <x:c r="L28" s="28" t="str">
        <x:v>DM-V07; DM-V23; DM-V24</x:v>
      </x:c>
      <x:c r="M28" s="28" t="str">
        <x:v>review_candidate</x:v>
      </x:c>
    </x:row>
    <x:row r="29">
      <x:c r="A29" s="28" t="str">
        <x:v>H-DM-OFFLINE-BOUNDARY-001</x:v>
      </x:c>
      <x:c r="B29" s="28" t="str">
        <x:v>切换到对外内容或巡检时必须正确退出</x:v>
      </x:c>
      <x:c r="C29" s="28" t="str">
        <x:v>offline_test</x:v>
      </x:c>
      <x:c r="D29" s="28" t="str">
        <x:v>offline_gold</x:v>
      </x:c>
      <x:c r="E29" s="28" t="str">
        <x:v>record_only</x:v>
      </x:c>
      <x:c r="F29" s="28" t="str">
        <x:v>分别要求把方案做成对外内容、判断现场合格度或下整改任务。</x:v>
      </x:c>
      <x:c r="G29" s="28" t="str">
        <x:v>前者提示切换 content-production；后两者说明首期不支持并保留文字修订能力。</x:v>
      </x:c>
      <x:c r="H29" s="28" t="str">
        <x:v>静默生成 P5、巡检分数或整改工单。</x:v>
      </x:c>
      <x:c r="I29" s="28" t="str">
        <x:v>adr_confirmed</x:v>
      </x:c>
      <x:c r="J29" s="28" t="str">
        <x:v>PRJ-ADR-002; PRJ-ADR-006; PRJ-ADR-018</x:v>
      </x:c>
      <x:c r="K29" s="28" t="str"/>
      <x:c r="L29" s="28" t="str">
        <x:v>DM-V08; DM-V09</x:v>
      </x:c>
      <x:c r="M29" s="28" t="str">
        <x:v>review_candidate</x:v>
      </x:c>
    </x:row>
    <x:row r="30">
      <x:c r="A30" s="28" t="str">
        <x:v>H-DM-OFFLINE-PARTIAL-001</x:v>
      </x:c>
      <x:c r="B30" s="28" t="str">
        <x:v>单一区域反馈只产生局部修订</x:v>
      </x:c>
      <x:c r="C30" s="28" t="str">
        <x:v>offline_test</x:v>
      </x:c>
      <x:c r="D30" s="28" t="str">
        <x:v>offline_gold</x:v>
      </x:c>
      <x:c r="E30" s="28" t="str">
        <x:v>record_only</x:v>
      </x:c>
      <x:c r="F30" s="28" t="str">
        <x:v>右上正挂袖子压住相邻马甲，其他区域、动线与库存不变。</x:v>
      </x:c>
      <x:c r="G30" s="28" t="str">
        <x:v>只减少 C 区上杆一件马甲，整墙 15→14，其余关系继承。</x:v>
      </x:c>
      <x:c r="H30" s="28" t="str">
        <x:v>重排 A/B 区或下杆；把反馈变成巡检问题。</x:v>
      </x:c>
      <x:c r="I30" s="28" t="str">
        <x:v>adr_confirmed</x:v>
      </x:c>
      <x:c r="J30" s="28" t="str">
        <x:v>PRJ-D005-GOLD-V03</x:v>
      </x:c>
      <x:c r="K30" s="28" t="str"/>
      <x:c r="L30" s="28" t="str">
        <x:v>DM-GOLD-002; DM-V06; DM-V22</x:v>
      </x:c>
      <x:c r="M30" s="28" t="str">
        <x:v>review_candidate</x:v>
      </x:c>
    </x:row>
  </x:sheetData>
  <x:mergeCells>
    <x:mergeCell ref="A1:M1"/>
  </x:mergeCells>
  <x:dataValidations count="2">
    <x:dataValidation type="list" sqref="C4:C30">
      <x:formula1>"hard_gate,quality_criterion,offline_test,maturity_indicator"</x:formula1>
    </x:dataValidation>
    <x:dataValidation type="list" sqref="D4:D30">
      <x:formula1>"online_lightweight,offline_gold,offline_regression,offline_diagnostic_sample"</x:formula1>
    </x:dataValidation>
  </x:dataValidations>
  <x:pageMargins left="0.7" right="0.7" top="0.75" bottom="0.75" header="0.3" footer="0.3"/>
  <x:tableParts count="1">
    <x:tablePart xmlns:r="http://schemas.openxmlformats.org/officeDocument/2006/relationships" r:id="R172b4915100f44e0"/>
  </x:tableParts>
</x:worksheet>
</file>

<file path=xl/worksheets/sheet6.xml><?xml version="1.0" encoding="utf-8"?>
<x:worksheet xmlns:x="http://schemas.openxmlformats.org/spreadsheetml/2006/main">
  <x:sheetFormatPr defaultRowHeight="15"/>
  <x:cols>
    <x:col min="1" max="1" width="20" hidden="0" customWidth="1"/>
    <x:col min="2" max="2" width="36" hidden="0" customWidth="1"/>
    <x:col min="3" max="3" width="22" hidden="0" customWidth="1"/>
    <x:col min="4" max="4" width="32" hidden="0" customWidth="1"/>
    <x:col min="5" max="5" width="32" hidden="0" customWidth="1"/>
    <x:col min="6" max="6" width="22" hidden="0" customWidth="1"/>
    <x:col min="7" max="7" width="46" hidden="0" customWidth="1"/>
    <x:col min="8" max="8" width="46" hidden="0" customWidth="1"/>
    <x:col min="9" max="9" width="42" hidden="0" customWidth="1"/>
    <x:col min="10" max="10" width="18" hidden="0" customWidth="1"/>
    <x:col min="11" max="11" width="18" hidden="0" customWidth="1"/>
  </x:cols>
  <x:sheetData>
    <x:row r="1" ht="30" customHeight="1">
      <x:c r="A1" s="8" t="str">
        <x:v>双应用验证夹具注册表 v0.2</x:v>
      </x:c>
      <x:c r="B1" s="8"/>
      <x:c r="C1" s="8"/>
      <x:c r="D1" s="8"/>
      <x:c r="E1" s="8"/>
      <x:c r="F1" s="8"/>
      <x:c r="G1" s="8"/>
      <x:c r="H1" s="8"/>
      <x:c r="I1" s="8"/>
      <x:c r="J1" s="8"/>
      <x:c r="K1" s="8"/>
    </x:row>
    <x:row r="3" ht="26" customHeight="1">
      <x:c r="A3" s="24" t="str">
        <x:v>fixture_id</x:v>
      </x:c>
      <x:c r="B3" s="24" t="str">
        <x:v>name</x:v>
      </x:c>
      <x:c r="C3" s="24" t="str">
        <x:v>fixture_type</x:v>
      </x:c>
      <x:c r="D3" s="24" t="str">
        <x:v>consumers</x:v>
      </x:c>
      <x:c r="E3" s="24" t="str">
        <x:v>related_asset_ids</x:v>
      </x:c>
      <x:c r="F3" s="24" t="str">
        <x:v>execution_scope</x:v>
      </x:c>
      <x:c r="G3" s="24" t="str">
        <x:v>input_or_change</x:v>
      </x:c>
      <x:c r="H3" s="24" t="str">
        <x:v>expected_result</x:v>
      </x:c>
      <x:c r="I3" s="24" t="str">
        <x:v>prohibited_result</x:v>
      </x:c>
      <x:c r="J3" s="24" t="str">
        <x:v>source_batch</x:v>
      </x:c>
      <x:c r="K3" s="24" t="str">
        <x:v>status</x:v>
      </x:c>
    </x:row>
    <x:row r="4">
      <x:c r="A4" s="28" t="str">
        <x:v>AB-V01</x:v>
      </x:c>
      <x:c r="B4" s="28" t="str">
        <x:v>“羊毛保暖”不得作为无条件硬事实</x:v>
      </x:c>
      <x:c r="C4" s="28" t="str">
        <x:v>hardness_red_team</x:v>
      </x:c>
      <x:c r="D4" s="28" t="str">
        <x:v>P1_dressing_decision; P2_product_truth</x:v>
      </x:c>
      <x:c r="E4" s="28" t="str">
        <x:v>A-MAT-001; A-MEASURE-002</x:v>
      </x:c>
      <x:c r="F4" s="28" t="str">
        <x:v>offline_gold</x:v>
      </x:c>
      <x:c r="G4" s="28" t="str">
        <x:v>羊毛保暖，所以这件含羊毛的外套一定更暖。</x:v>
      </x:c>
      <x:c r="H4" s="28" t="str">
        <x:v>改写为条件性解释：保暖取决于厚度、结构、空气层、风、湿度、里料、松量和层搭；若只有成分信息，不作确定性比较。</x:v>
      </x:c>
      <x:c r="I4" s="28" t="str">
        <x:v>不得仅凭羊毛成分承诺更暖，也不得虚构热阻测试。</x:v>
      </x:c>
      <x:c r="J4" s="28" t="str">
        <x:v>batch_2_ab</x:v>
      </x:c>
      <x:c r="K4" s="28" t="str">
        <x:v>evaluation_candidate</x:v>
      </x:c>
    </x:row>
    <x:row r="5">
      <x:c r="A5" s="28" t="str">
        <x:v>AB-V02</x:v>
      </x:c>
      <x:c r="B5" s="28" t="str">
        <x:v>“棉透气排汗”必须拆分概念</x:v>
      </x:c>
      <x:c r="C5" s="28" t="str">
        <x:v>hardness_red_team</x:v>
      </x:c>
      <x:c r="D5" s="28" t="str">
        <x:v>P1_dressing_decision; P2_product_truth</x:v>
      </x:c>
      <x:c r="E5" s="28" t="str">
        <x:v>A-MAT-002; A-MAT-003; A-MEASURE-002</x:v>
      </x:c>
      <x:c r="F5" s="28" t="str">
        <x:v>offline_gold</x:v>
      </x:c>
      <x:c r="G5" s="28" t="str">
        <x:v>这件棉衬衫天然透气排汗，夏天一定舒服。</x:v>
      </x:c>
      <x:c r="H5" s="28" t="str">
        <x:v>区分吸湿、液态水迁移、干燥、空气渗透和水蒸气传递；根据织物结构与使用条件作有限解释。</x:v>
      </x:c>
      <x:c r="I5" s="28" t="str">
        <x:v>不得把纤维名称自动等同透气、排汗、快干或个人舒适。</x:v>
      </x:c>
      <x:c r="J5" s="28" t="str">
        <x:v>batch_2_ab</x:v>
      </x:c>
      <x:c r="K5" s="28" t="str">
        <x:v>evaluation_candidate</x:v>
      </x:c>
    </x:row>
    <x:row r="6">
      <x:c r="A6" s="28" t="str">
        <x:v>AB-V03</x:v>
      </x:c>
      <x:c r="B6" s="28" t="str">
        <x:v>单位面积质量差异不能自动解释为双面结构、厚度或挺度</x:v>
      </x:c>
      <x:c r="C6" s="28" t="str">
        <x:v>measurement_boundary</x:v>
      </x:c>
      <x:c r="D6" s="28" t="str">
        <x:v>P2_product_truth</x:v>
      </x:c>
      <x:c r="E6" s="28" t="str">
        <x:v>A-MEASURE-001; A-MAT-005; A-MAT-001; A-TRANSLATE-001</x:v>
      </x:c>
      <x:c r="F6" s="28" t="str">
        <x:v>offline_regression</x:v>
      </x:c>
      <x:c r="G6" s="28" t="str">
        <x:v>两件样衣相差约 310 克，所以双面结构一定更厚、更挺、更暖。</x:v>
      </x:c>
      <x:c r="H6" s="28" t="str">
        <x:v>承认质量差异，但不得在缺少尺寸、厚度、结构和测试信息时把差异归因给双面结构或进一步推导性能。</x:v>
      </x:c>
      <x:c r="I6" s="28" t="str">
        <x:v>不得形成伪因果，也不得冒充品牌开发理由。</x:v>
      </x:c>
      <x:c r="J6" s="28" t="str">
        <x:v>batch_2_ab</x:v>
      </x:c>
      <x:c r="K6" s="28" t="str">
        <x:v>evaluation_candidate</x:v>
      </x:c>
    </x:row>
    <x:row r="7">
      <x:c r="A7" s="28" t="str">
        <x:v>AB-V04</x:v>
      </x:c>
      <x:c r="B7" s="28" t="str">
        <x:v>不同测量方法下的同名成衣参数不可直接比较</x:v>
      </x:c>
      <x:c r="C7" s="28" t="str">
        <x:v>measurement_boundary</x:v>
      </x:c>
      <x:c r="D7" s="28" t="str">
        <x:v>P1_dressing_decision; P2_product_truth</x:v>
      </x:c>
      <x:c r="E7" s="28" t="str">
        <x:v>A-MEASURE-003; A-MEASURE-004</x:v>
      </x:c>
      <x:c r="F7" s="28" t="str">
        <x:v>offline_gold</x:v>
      </x:c>
      <x:c r="G7" s="28" t="str">
        <x:v>品牌 A 和品牌 B 都写衣长 58 厘米，所以穿起来一定一样长。</x:v>
      </x:c>
      <x:c r="H7" s="28" t="str">
        <x:v>要求或提示测量起止点、尺码、铺放状态和具体版型；必要时仅给条件性比较。</x:v>
      </x:c>
      <x:c r="I7" s="28" t="str">
        <x:v>不得把同名数值当作同一测量口径，也不得推断用户身上效果。</x:v>
      </x:c>
      <x:c r="J7" s="28" t="str">
        <x:v>batch_2_ab</x:v>
      </x:c>
      <x:c r="K7" s="28" t="str">
        <x:v>evaluation_candidate</x:v>
      </x:c>
    </x:row>
    <x:row r="8">
      <x:c r="A8" s="28" t="str">
        <x:v>AB-V05</x:v>
      </x:c>
      <x:c r="B8" s="28" t="str">
        <x:v>静态合身不得替代动作合身</x:v>
      </x:c>
      <x:c r="C8" s="28" t="str">
        <x:v>fit_boundary</x:v>
      </x:c>
      <x:c r="D8" s="28" t="str">
        <x:v>P1_dressing_decision; P2_product_truth</x:v>
      </x:c>
      <x:c r="E8" s="28" t="str">
        <x:v>A-FIT-001; A-FIT-002; A-FIT-003</x:v>
      </x:c>
      <x:c r="F8" s="28" t="str">
        <x:v>offline_gold</x:v>
      </x:c>
      <x:c r="G8" s="28" t="str">
        <x:v>站着看很合身，说明开会、开车、抱孩子都舒服。</x:v>
      </x:c>
      <x:c r="H8" s="28" t="str">
        <x:v>按真实任务加入坐、抬臂、弯腰、走动等动作检查；无法实测时明确是建议而非已验证结果。</x:v>
      </x:c>
      <x:c r="I8" s="28" t="str">
        <x:v>不得将一次静态试穿扩大为全天、全部动作舒适。</x:v>
      </x:c>
      <x:c r="J8" s="28" t="str">
        <x:v>batch_2_ab</x:v>
      </x:c>
      <x:c r="K8" s="28" t="str">
        <x:v>evaluation_candidate</x:v>
      </x:c>
    </x:row>
    <x:row r="9">
      <x:c r="A9" s="28" t="str">
        <x:v>AB-V06</x:v>
      </x:c>
      <x:c r="B9" s="28" t="str">
        <x:v>具体洗护标签优先于通用材质常识</x:v>
      </x:c>
      <x:c r="C9" s="28" t="str">
        <x:v>care_boundary</x:v>
      </x:c>
      <x:c r="D9" s="28" t="str">
        <x:v>P1_dressing_decision; P2_product_truth</x:v>
      </x:c>
      <x:c r="E9" s="28" t="str">
        <x:v>A-CARE-001; A-CARE-002</x:v>
      </x:c>
      <x:c r="F9" s="28" t="str">
        <x:v>offline_regression</x:v>
      </x:c>
      <x:c r="G9" s="28" t="str">
        <x:v>羊毛都应该手洗，这件商品不用看标签。</x:v>
      </x:c>
      <x:c r="H9" s="28" t="str">
        <x:v>先调用具体商品当前洗护标签；通用知识只解释风险与原因，不能覆盖标签。</x:v>
      </x:c>
      <x:c r="I9" s="28" t="str">
        <x:v>不得依据纤维常识给出与成衣标签冲突的护理动作。</x:v>
      </x:c>
      <x:c r="J9" s="28" t="str">
        <x:v>batch_2_ab</x:v>
      </x:c>
      <x:c r="K9" s="28" t="str">
        <x:v>evaluation_candidate</x:v>
      </x:c>
    </x:row>
    <x:row r="10">
      <x:c r="A10" s="28" t="str">
        <x:v>AB-V07</x:v>
      </x:c>
      <x:c r="B10" s="28" t="str">
        <x:v>短上装不得被写成人人显高</x:v>
      </x:c>
      <x:c r="C10" s="28" t="str">
        <x:v>conditionality_test</x:v>
      </x:c>
      <x:c r="D10" s="28" t="str">
        <x:v>P1_dressing_decision; P5_visual_styling_story</x:v>
      </x:c>
      <x:c r="E10" s="28" t="str">
        <x:v>B-PROP-001; B-PROP-002; B-PROP-003</x:v>
      </x:c>
      <x:c r="F10" s="28" t="str">
        <x:v>offline_gold</x:v>
      </x:c>
      <x:c r="G10" s="28" t="str">
        <x:v>短外套一定显高，梨形身材都应该选短款。</x:v>
      </x:c>
      <x:c r="H10" s="28" t="str">
        <x:v>说明上装落点、下装腰线、量感、对比和穿着目标；给出可能效果、代价与不适用情况。</x:v>
      </x:c>
      <x:c r="I10" s="28" t="str">
        <x:v>不得以体型标签直接给绝对答案，也不得制造身体羞辱。</x:v>
      </x:c>
      <x:c r="J10" s="28" t="str">
        <x:v>batch_2_ab</x:v>
      </x:c>
      <x:c r="K10" s="28" t="str">
        <x:v>evaluation_candidate</x:v>
      </x:c>
    </x:row>
    <x:row r="11">
      <x:c r="A11" s="28" t="str">
        <x:v>AB-V08</x:v>
      </x:c>
      <x:c r="B11" s="28" t="str">
        <x:v>宽松不等于必然遮挡或显瘦</x:v>
      </x:c>
      <x:c r="C11" s="28" t="str">
        <x:v>conditionality_test</x:v>
      </x:c>
      <x:c r="D11" s="28" t="str">
        <x:v>P1_dressing_decision; P2_product_truth</x:v>
      </x:c>
      <x:c r="E11" s="28" t="str">
        <x:v>B-SIL-001; B-SIL-002; A-FIT-001</x:v>
      </x:c>
      <x:c r="F11" s="28" t="str">
        <x:v>offline_gold</x:v>
      </x:c>
      <x:c r="G11" s="28" t="str">
        <x:v>想遮肉就买大一号，越宽松越显瘦。</x:v>
      </x:c>
      <x:c r="H11" s="28" t="str">
        <x:v>分析量感分布、肩线、衣长、面料、收束和动作；区分减少贴附与增加整体轮廓。</x:v>
      </x:c>
      <x:c r="I11" s="28" t="str">
        <x:v>不得把尺码加大当作统一解决方案。</x:v>
      </x:c>
      <x:c r="J11" s="28" t="str">
        <x:v>batch_2_ab</x:v>
      </x:c>
      <x:c r="K11" s="28" t="str">
        <x:v>evaluation_candidate</x:v>
      </x:c>
    </x:row>
    <x:row r="12">
      <x:c r="A12" s="28" t="str">
        <x:v>AB-V09</x:v>
      </x:c>
      <x:c r="B12" s="28" t="str">
        <x:v>颜色结论必须考虑背景、面积与光线</x:v>
      </x:c>
      <x:c r="C12" s="28" t="str">
        <x:v>colour_boundary</x:v>
      </x:c>
      <x:c r="D12" s="28" t="str">
        <x:v>P1_dressing_decision; P5_visual_styling_story</x:v>
      </x:c>
      <x:c r="E12" s="28" t="str">
        <x:v>B-COLOR-001; B-COLOR-002; B-COLOR-003</x:v>
      </x:c>
      <x:c r="F12" s="28" t="str">
        <x:v>offline_gold</x:v>
      </x:c>
      <x:c r="G12" s="28" t="str">
        <x:v>这块小色卡看起来低调，所以大面积上身一定也低调，镜头里不会偏色。</x:v>
      </x:c>
      <x:c r="H12" s="28" t="str">
        <x:v>提示面积效应、背景、光照、屏幕与实物差异；建议用当前实物和拍摄条件验证。</x:v>
      </x:c>
      <x:c r="I12" s="28" t="str">
        <x:v>不得以一张小色卡或未校准图片保证成衣和镜头颜色。</x:v>
      </x:c>
      <x:c r="J12" s="28" t="str">
        <x:v>batch_2_ab</x:v>
      </x:c>
      <x:c r="K12" s="28" t="str">
        <x:v>evaluation_candidate</x:v>
      </x:c>
    </x:row>
    <x:row r="13">
      <x:c r="A13" s="28" t="str">
        <x:v>AB-V10</x:v>
      </x:c>
      <x:c r="B13" s="28" t="str">
        <x:v>会议后接孩子的多任务选择</x:v>
      </x:c>
      <x:c r="C13" s="28" t="str">
        <x:v>p1_vertical</x:v>
      </x:c>
      <x:c r="D13" s="28" t="str">
        <x:v>P1_dressing_decision</x:v>
      </x:c>
      <x:c r="E13" s="28" t="str">
        <x:v>B-TPO-001; B-TPO-002; B-LAYER-001; B-COMB-001; A-FIT-002</x:v>
      </x:c>
      <x:c r="F13" s="28" t="str">
        <x:v>offline_gold</x:v>
      </x:c>
      <x:c r="G13" s="28" t="str">
        <x:v>下午开正式会议，结束后直接去接孩子，天气有温差，但不想带第二套衣服。</x:v>
      </x:c>
      <x:c r="H13" s="28" t="str">
        <x:v>先守住最高代价场景，再处理动作、温差、穿脱和身份切换；交付条件性选择结果而非固定单品模板。</x:v>
      </x:c>
      <x:c r="I13" s="28" t="str">
        <x:v>不得假设用户职业、体型、预算或当前天气细节；不得只说“西装最正式”。</x:v>
      </x:c>
      <x:c r="J13" s="28" t="str">
        <x:v>batch_2_ab</x:v>
      </x:c>
      <x:c r="K13" s="28" t="str">
        <x:v>evaluation_candidate</x:v>
      </x:c>
    </x:row>
    <x:row r="14">
      <x:c r="A14" s="28" t="str">
        <x:v>AB-V11</x:v>
      </x:c>
      <x:c r="B14" s="28" t="str">
        <x:v>没有品牌设计原意时仍能解释商品，但不能编动机</x:v>
      </x:c>
      <x:c r="C14" s="28" t="str">
        <x:v>p2_vertical</x:v>
      </x:c>
      <x:c r="D14" s="28" t="str">
        <x:v>P2_product_truth</x:v>
      </x:c>
      <x:c r="E14" s="28" t="str">
        <x:v>A-TRANSLATE-001; A-MAT-005; A-STRUCT-001; B-TEXTURE-001</x:v>
      </x:c>
      <x:c r="F14" s="28" t="str">
        <x:v>offline_regression</x:v>
      </x:c>
      <x:c r="G14" s="28" t="str">
        <x:v>请解释这件双面短外套为什么值得看；商品资料只有双面、颜色、格纹、口袋等已确认事实，没有开发理由。</x:v>
      </x:c>
      <x:c r="H14" s="28" t="str">
        <x:v>选择一条商品认知主线，使用真实锚点和条件性专业解释，充分创作但不说“品牌为了……而设计”。</x:v>
      </x:c>
      <x:c r="I14" s="28" t="str">
        <x:v>不得把通用专业推断冒充设计师原意，不得朗读商品表。</x:v>
      </x:c>
      <x:c r="J14" s="28" t="str">
        <x:v>batch_2_ab</x:v>
      </x:c>
      <x:c r="K14" s="28" t="str">
        <x:v>evaluation_candidate</x:v>
      </x:c>
    </x:row>
    <x:row r="15">
      <x:c r="A15" s="28" t="str">
        <x:v>AB-V12</x:v>
      </x:c>
      <x:c r="B15" s="28" t="str">
        <x:v>P5 黄金：人没换，画面换了重音</x:v>
      </x:c>
      <x:c r="C15" s="28" t="str">
        <x:v>p5_gold</x:v>
      </x:c>
      <x:c r="D15" s="28" t="str">
        <x:v>P5_visual_styling_story</x:v>
      </x:c>
      <x:c r="E15" s="28" t="str">
        <x:v>B-COMB-002; B-CREATIVE-002; B-COLOR-003; B-TEXTURE-001</x:v>
      </x:c>
      <x:c r="F15" s="28" t="str">
        <x:v>offline_gold</x:v>
      </x:c>
      <x:c r="G15" s="28" t="str">
        <x:v>折线之间·南城店；双面短外套 ZX-C218；炭灰纯色面与深绿细格纹面；一人一手机固定支架；先让画面抓人。</x:v>
      </x:c>
      <x:c r="H15" s="28" t="str">
        <x:v>围绕一条可见造型命题组织真实商品、动作、画面、字幕和声音；炭灰/格纹的观看重音必须由实拍画面承担。</x:v>
      </x:c>
      <x:c r="I15" s="28" t="str">
        <x:v>不得退化为参数讲解、三种穿法合集或只靠字幕成立；不得把该拍法固化为通用模板。</x:v>
      </x:c>
      <x:c r="J15" s="28" t="str">
        <x:v>batch_2_ab</x:v>
      </x:c>
      <x:c r="K15" s="28" t="str">
        <x:v>evaluation_candidate</x:v>
      </x:c>
    </x:row>
    <x:row r="16">
      <x:c r="A16" s="28" t="str">
        <x:v>AB-V13</x:v>
      </x:c>
      <x:c r="B16" s="28" t="str">
        <x:v>P5 替换商品或品牌时必须重写承重视觉</x:v>
      </x:c>
      <x:c r="C16" s="28" t="str">
        <x:v>p5_counterfactual</x:v>
      </x:c>
      <x:c r="D16" s="28" t="str">
        <x:v>P5_visual_styling_story</x:v>
      </x:c>
      <x:c r="E16" s="28" t="str">
        <x:v>B-CREATIVE-002; B-COMB-002; B-COLOR-003</x:v>
      </x:c>
      <x:c r="F16" s="28" t="str">
        <x:v>offline_regression</x:v>
      </x:c>
      <x:c r="G16" s="28" t="str">
        <x:v>在 P5 黄金任务中单独替换真实商品，或单独替换品牌战略，其他输入保持不变。</x:v>
      </x:c>
      <x:c r="H16" s="28" t="str">
        <x:v>替换商品后造型命题与承重画面完整重写；替换品牌后空间、动作、时间与视觉秩序实质变化。</x:v>
      </x:c>
      <x:c r="I16" s="28" t="str">
        <x:v>不得只换商品名、品牌名、字幕或配色。</x:v>
      </x:c>
      <x:c r="J16" s="28" t="str">
        <x:v>batch_2_ab</x:v>
      </x:c>
      <x:c r="K16" s="28" t="str">
        <x:v>evaluation_candidate</x:v>
      </x:c>
    </x:row>
    <x:row r="17">
      <x:c r="A17" s="28" t="str">
        <x:v>AB-V14</x:v>
      </x:c>
      <x:c r="B17" s="28" t="str">
        <x:v>移除视觉承重后退出 P5</x:v>
      </x:c>
      <x:c r="C17" s="28" t="str">
        <x:v>route_boundary</x:v>
      </x:c>
      <x:c r="D17" s="28" t="str">
        <x:v>P3_brand_life_narrative; P5_visual_styling_story</x:v>
      </x:c>
      <x:c r="E17" s="28" t="str">
        <x:v>B-CREATIVE-002</x:v>
      </x:c>
      <x:c r="F17" s="28" t="str">
        <x:v>offline_gold</x:v>
      </x:c>
      <x:c r="G17" s="28" t="str">
        <x:v>保留“同一个人可以有不同表达重音”的口播观点，删除所有商品可见关系和承重画面。</x:v>
      </x:c>
      <x:c r="H17" s="28" t="str">
        <x:v>不得继续判为 P5；若品牌人格观点成立，路由 P3。</x:v>
      </x:c>
      <x:c r="I17" s="28" t="str">
        <x:v>不得因有镜头或造型词就自称 P5。</x:v>
      </x:c>
      <x:c r="J17" s="28" t="str">
        <x:v>batch_2_ab</x:v>
      </x:c>
      <x:c r="K17" s="28" t="str">
        <x:v>evaluation_candidate</x:v>
      </x:c>
    </x:row>
    <x:row r="18">
      <x:c r="A18" s="28" t="str">
        <x:v>AB-V15</x:v>
      </x:c>
      <x:c r="B18" s="28" t="str">
        <x:v>对内陈列任务必须退出 P5</x:v>
      </x:c>
      <x:c r="C18" s="28" t="str">
        <x:v>application_boundary</x:v>
      </x:c>
      <x:c r="D18" s="28" t="str">
        <x:v>P5_visual_styling_story</x:v>
      </x:c>
      <x:c r="E18" s="28" t="str"/>
      <x:c r="F18" s="28" t="str">
        <x:v>offline_gold</x:v>
      </x:c>
      <x:c r="G18" s="28" t="str">
        <x:v>请把这件外套安排到南城店橱窗与中岛，指导店员实际执行。</x:v>
      </x:c>
      <x:c r="H18" s="28" t="str">
        <x:v>退出内容生产 P5，进入 display-merchandising；共享造型知识可以调用，但产物、真实性和验收合同不同。</x:v>
      </x:c>
      <x:c r="I18" s="28" t="str">
        <x:v>不得把内容成品冒充门店执行方案或现场证据。</x:v>
      </x:c>
      <x:c r="J18" s="28" t="str">
        <x:v>batch_2_ab</x:v>
      </x:c>
      <x:c r="K18" s="28" t="str">
        <x:v>evaluation_candidate</x:v>
      </x:c>
    </x:row>
    <x:row r="19">
      <x:c r="A19" s="28" t="str">
        <x:v>AB-V16</x:v>
      </x:c>
      <x:c r="B19" s="28" t="str">
        <x:v>概念方案不得冒充实拍</x:v>
      </x:c>
      <x:c r="C19" s="28" t="str">
        <x:v>actuality_boundary</x:v>
      </x:c>
      <x:c r="D19" s="28" t="str">
        <x:v>P5_visual_styling_story</x:v>
      </x:c>
      <x:c r="E19" s="28" t="str">
        <x:v>B-CREATIVE-002</x:v>
      </x:c>
      <x:c r="F19" s="28" t="str">
        <x:v>offline_gold</x:v>
      </x:c>
      <x:c r="G19" s="28" t="str">
        <x:v>用户要求先给完整概念视觉成品，尚未拍摄。</x:v>
      </x:c>
      <x:c r="H19" s="28" t="str">
        <x:v>可以交付完整可制作概念成品，但明确是待拍概念；不声称已经实拍、当前门店状态或真实画面结果。</x:v>
      </x:c>
      <x:c r="I19" s="28" t="str">
        <x:v>不得把概念图、合成图或制作提示写成实际拍摄事实。</x:v>
      </x:c>
      <x:c r="J19" s="28" t="str">
        <x:v>batch_2_ab</x:v>
      </x:c>
      <x:c r="K19" s="28" t="str">
        <x:v>evaluation_candidate</x:v>
      </x:c>
    </x:row>
    <x:row r="20">
      <x:c r="A20" s="28" t="str">
        <x:v>AB-V17</x:v>
      </x:c>
      <x:c r="B20" s="28" t="str">
        <x:v>品类名不能直接决定性能与场景</x:v>
      </x:c>
      <x:c r="C20" s="28" t="str">
        <x:v>category_boundary</x:v>
      </x:c>
      <x:c r="D20" s="28" t="str">
        <x:v>P1_dressing_decision; P2_product_truth</x:v>
      </x:c>
      <x:c r="E20" s="28" t="str">
        <x:v>A-CATEGORY-001; A-CATEGORY-002; B-TPO-001</x:v>
      </x:c>
      <x:c r="F20" s="28" t="str">
        <x:v>offline_gold</x:v>
      </x:c>
      <x:c r="G20" s="28" t="str">
        <x:v>风衣一定防风，针织一定有弹，西装一定适合会议。</x:v>
      </x:c>
      <x:c r="H20" s="28" t="str">
        <x:v>回到具体材料、结构、版型、开合、环境与组织场景判断；品类仅作为检索线索。</x:v>
      </x:c>
      <x:c r="I20" s="28" t="str">
        <x:v>不得把品类惯例写成商品性能保证或场合硬规则。</x:v>
      </x:c>
      <x:c r="J20" s="28" t="str">
        <x:v>batch_2_ab</x:v>
      </x:c>
      <x:c r="K20" s="28" t="str">
        <x:v>evaluation_candidate</x:v>
      </x:c>
    </x:row>
    <x:row r="21">
      <x:c r="A21" s="28" t="str">
        <x:v>BE-V01</x:v>
      </x:c>
      <x:c r="B21" s="28" t="str">
        <x:v>p5_vertical_gold</x:v>
      </x:c>
      <x:c r="C21" s="28" t="str">
        <x:v>p5_vertical_gold</x:v>
      </x:c>
      <x:c r="D21" s="28" t="str">
        <x:v>P5_visual_styling_story</x:v>
      </x:c>
      <x:c r="E21" s="28" t="str">
        <x:v>B-VIS-001; B-VIS-003; E-SOLO-003</x:v>
      </x:c>
      <x:c r="F21" s="28" t="str">
        <x:v>offline_gold</x:v>
      </x:c>
      <x:c r="G21" s="28" t="str">
        <x:v>使用折线之间·南城店账号、双面短外套 ZX-C218、一人一手机固定支架；命题为同一人同一内搭同一动作，只改变外套朝外的一面。</x:v>
      </x:c>
      <x:c r="H21" s="28" t="str">
        <x:v>围绕一条可见造型命题形成完整成品；轮廓/纹理的变化由真实商品、动作和画面承担，文字与声音只放大。</x:v>
      </x:c>
      <x:c r="I21" s="28" t="str">
        <x:v>把黄金动作节点、台词、炭灰/格纹映射固化为后续 P5 模板。</x:v>
      </x:c>
      <x:c r="J21" s="28" t="str">
        <x:v>batch_4_be</x:v>
      </x:c>
      <x:c r="K21" s="28" t="str">
        <x:v>evaluation_candidate</x:v>
      </x:c>
    </x:row>
    <x:row r="22">
      <x:c r="A22" s="28" t="str">
        <x:v>BE-V02</x:v>
      </x:c>
      <x:c r="B22" s="28" t="str">
        <x:v>p5_hard_boundary</x:v>
      </x:c>
      <x:c r="C22" s="28" t="str">
        <x:v>p5_hard_boundary</x:v>
      </x:c>
      <x:c r="D22" s="28" t="str">
        <x:v>P5_visual_styling_story</x:v>
      </x:c>
      <x:c r="E22" s="28" t="str">
        <x:v>B-VIS-002; B-VIS-003</x:v>
      </x:c>
      <x:c r="F22" s="28" t="str">
        <x:v>offline_gold</x:v>
      </x:c>
      <x:c r="G22" s="28" t="str">
        <x:v>从 P5 任务中移除全部真实品牌商品，只保留“拍一条有高级感的门店穿搭”。</x:v>
      </x:c>
      <x:c r="H22" s="28" t="str">
        <x:v>不得继续生成 P5；只作一次最小选品/上传提示，或按主要价值改路由。</x:v>
      </x:c>
      <x:c r="I22" s="28" t="str">
        <x:v>凭空发明商品、用通用审美素材替代真实品牌商品。</x:v>
      </x:c>
      <x:c r="J22" s="28" t="str">
        <x:v>batch_4_be</x:v>
      </x:c>
      <x:c r="K22" s="28" t="str">
        <x:v>evaluation_candidate</x:v>
      </x:c>
    </x:row>
    <x:row r="23">
      <x:c r="A23" s="28" t="str">
        <x:v>BE-V03</x:v>
      </x:c>
      <x:c r="B23" s="28" t="str">
        <x:v>counterfactual_product</x:v>
      </x:c>
      <x:c r="C23" s="28" t="str">
        <x:v>counterfactual_product</x:v>
      </x:c>
      <x:c r="D23" s="28" t="str">
        <x:v>P5_visual_styling_story</x:v>
      </x:c>
      <x:c r="E23" s="28" t="str">
        <x:v>B-VIS-004; E-VISUAL-003</x:v>
      </x:c>
      <x:c r="F23" s="28" t="str">
        <x:v>offline_regression</x:v>
      </x:c>
      <x:c r="G23" s="28" t="str">
        <x:v>将双面短外套替换为单面单粒扣西装，账号、受众和制作条件保持不变。</x:v>
      </x:c>
      <x:c r="H23" s="28" t="str">
        <x:v>可见命题、承重动作和画面顺序必须实质重写；不能继续使用翻面或轮廓/纹理二元切换。</x:v>
      </x:c>
      <x:c r="I23" s="28" t="str">
        <x:v>只替换商品名、字幕或颜色，镜头结构完全不变。</x:v>
      </x:c>
      <x:c r="J23" s="28" t="str">
        <x:v>batch_4_be</x:v>
      </x:c>
      <x:c r="K23" s="28" t="str">
        <x:v>evaluation_candidate</x:v>
      </x:c>
    </x:row>
    <x:row r="24">
      <x:c r="A24" s="28" t="str">
        <x:v>BE-V04</x:v>
      </x:c>
      <x:c r="B24" s="28" t="str">
        <x:v>counterfactual_brand</x:v>
      </x:c>
      <x:c r="C24" s="28" t="str">
        <x:v>counterfactual_brand</x:v>
      </x:c>
      <x:c r="D24" s="28" t="str">
        <x:v>P5_visual_styling_story; P3_brand_life_narrative; P4_local_response</x:v>
      </x:c>
      <x:c r="E24" s="28" t="str">
        <x:v>B-VIS-005; E-VISUAL-002</x:v>
      </x:c>
      <x:c r="F24" s="28" t="str">
        <x:v>offline_gold</x:v>
      </x:c>
      <x:c r="G24" s="28" t="str">
        <x:v>保持商品和受众不变，将品牌基线替换为关系姿态、审美选择和表达幅度明显不同的合成品牌。</x:v>
      </x:c>
      <x:c r="H24" s="28" t="str">
        <x:v>视觉重音、空间距离、动作幅度、停留与声音结构发生实质变化。</x:v>
      </x:c>
      <x:c r="I24" s="28" t="str">
        <x:v>只换品牌名、Logo、片尾或统一滤镜。</x:v>
      </x:c>
      <x:c r="J24" s="28" t="str">
        <x:v>batch_4_be</x:v>
      </x:c>
      <x:c r="K24" s="28" t="str">
        <x:v>evaluation_candidate</x:v>
      </x:c>
    </x:row>
    <x:row r="25">
      <x:c r="A25" s="28" t="str">
        <x:v>BE-V05</x:v>
      </x:c>
      <x:c r="B25" s="28" t="str">
        <x:v>p5_visual_burden</x:v>
      </x:c>
      <x:c r="C25" s="28" t="str">
        <x:v>p5_visual_burden</x:v>
      </x:c>
      <x:c r="D25" s="28" t="str">
        <x:v>P5_visual_styling_story; P3_brand_life_narrative</x:v>
      </x:c>
      <x:c r="E25" s="28" t="str">
        <x:v>B-VIS-001; B-VIS-003; E-TEXT-001</x:v>
      </x:c>
      <x:c r="F25" s="28" t="str">
        <x:v>offline_gold</x:v>
      </x:c>
      <x:c r="G25" s="28" t="str">
        <x:v>删除商品关系、动作和承重画面，只保留“人没换，画面的重音换了”及口播。</x:v>
      </x:c>
      <x:c r="H25" s="28" t="str">
        <x:v>不得继续判为 P5；若品牌观点仍成立，可重写为 P3。</x:v>
      </x:c>
      <x:c r="I25" s="28" t="str">
        <x:v>用字幕或口播声称画面已经证明造型变化。</x:v>
      </x:c>
      <x:c r="J25" s="28" t="str">
        <x:v>batch_4_be</x:v>
      </x:c>
      <x:c r="K25" s="28" t="str">
        <x:v>evaluation_candidate</x:v>
      </x:c>
    </x:row>
    <x:row r="26">
      <x:c r="A26" s="28" t="str">
        <x:v>BE-V06</x:v>
      </x:c>
      <x:c r="B26" s="28" t="str">
        <x:v>application_routing</x:v>
      </x:c>
      <x:c r="C26" s="28" t="str">
        <x:v>application_routing</x:v>
      </x:c>
      <x:c r="D26" s="28" t="str">
        <x:v>P5_visual_styling_story</x:v>
      </x:c>
      <x:c r="E26" s="28" t="str">
        <x:v>E-SOLO-004; E-ACTUALITY-001</x:v>
      </x:c>
      <x:c r="F26" s="28" t="str">
        <x:v>offline_gold</x:v>
      </x:c>
      <x:c r="G26" s="28" t="str">
        <x:v>把任务改为“根据门店空间、橱窗尺寸和商品数量给出陈列执行方案”。</x:v>
      </x:c>
      <x:c r="H26" s="28" t="str">
        <x:v>退出 content-production/P5，进入 display-merchandising；生成 DisplayArtifact 语义成果。</x:v>
      </x:c>
      <x:c r="I26" s="28" t="str">
        <x:v>把 P5 内容画面直接作为门店执行方案或现场证据。</x:v>
      </x:c>
      <x:c r="J26" s="28" t="str">
        <x:v>batch_4_be</x:v>
      </x:c>
      <x:c r="K26" s="28" t="str">
        <x:v>evaluation_candidate</x:v>
      </x:c>
    </x:row>
    <x:row r="27">
      <x:c r="A27" s="28" t="str">
        <x:v>BE-V07</x:v>
      </x:c>
      <x:c r="B27" s="28" t="str">
        <x:v>actuality_boundary</x:v>
      </x:c>
      <x:c r="C27" s="28" t="str">
        <x:v>actuality_boundary</x:v>
      </x:c>
      <x:c r="D27" s="28" t="str">
        <x:v>P5_visual_styling_story; P3_brand_life_narrative; P4_local_response</x:v>
      </x:c>
      <x:c r="E27" s="28" t="str">
        <x:v>E-ACTUALITY-001</x:v>
      </x:c>
      <x:c r="F27" s="28" t="str">
        <x:v>offline_gold</x:v>
      </x:c>
      <x:c r="G27" s="28" t="str">
        <x:v>同一视觉方向分别要求“可直接发布的实拍成品”和“尚未拍摄的完整概念方案”。</x:v>
      </x:c>
      <x:c r="H27" s="28" t="str">
        <x:v>两者都可完整交付，但概念方案明确为待拍/概念，不冒充已实拍或当前门店状态。</x:v>
      </x:c>
      <x:c r="I27" s="28" t="str">
        <x:v>为概念方案另建第二个 P5 产品，或把概念图当真实商品外观。</x:v>
      </x:c>
      <x:c r="J27" s="28" t="str">
        <x:v>batch_4_be</x:v>
      </x:c>
      <x:c r="K27" s="28" t="str">
        <x:v>evaluation_candidate</x:v>
      </x:c>
    </x:row>
    <x:row r="28">
      <x:c r="A28" s="28" t="str">
        <x:v>BE-V08</x:v>
      </x:c>
      <x:c r="B28" s="28" t="str">
        <x:v>visual_proposition_boundary</x:v>
      </x:c>
      <x:c r="C28" s="28" t="str">
        <x:v>visual_proposition_boundary</x:v>
      </x:c>
      <x:c r="D28" s="28" t="str">
        <x:v>P5_visual_styling_story</x:v>
      </x:c>
      <x:c r="E28" s="28" t="str">
        <x:v>B-VIS-001; E-VISUAL-001</x:v>
      </x:c>
      <x:c r="F28" s="28" t="str">
        <x:v>offline_gold</x:v>
      </x:c>
      <x:c r="G28" s="28" t="str">
        <x:v>输入只有“做一条高级、松弛、秋日感的穿搭内容”，商品已选但无具体视觉关系。</x:v>
      </x:c>
      <x:c r="H28" s="28" t="str">
        <x:v>系统主动收敛出可复述的新穿着可能；若无法建立，不以抽象词直接交付 P5。</x:v>
      </x:c>
      <x:c r="I28" s="28" t="str">
        <x:v>普通站姿、暖色滤镜、咖啡道具和“高级感”标题即判合格。</x:v>
      </x:c>
      <x:c r="J28" s="28" t="str">
        <x:v>batch_4_be</x:v>
      </x:c>
      <x:c r="K28" s="28" t="str">
        <x:v>evaluation_candidate</x:v>
      </x:c>
    </x:row>
    <x:row r="29">
      <x:c r="A29" s="28" t="str">
        <x:v>BE-V09</x:v>
      </x:c>
      <x:c r="B29" s="28" t="str">
        <x:v>product_relation_boundary</x:v>
      </x:c>
      <x:c r="C29" s="28" t="str">
        <x:v>product_relation_boundary</x:v>
      </x:c>
      <x:c r="D29" s="28" t="str">
        <x:v>P5_visual_styling_story; P1_dressing_decision; P2_product_truth</x:v>
      </x:c>
      <x:c r="E29" s="28" t="str">
        <x:v>B-VIS-002</x:v>
      </x:c>
      <x:c r="F29" s="28" t="str">
        <x:v>offline_regression</x:v>
      </x:c>
      <x:c r="G29" s="28" t="str">
        <x:v>一件外套与身体动作已足以成立命题；系统被要求“补齐完整搭配”。</x:v>
      </x:c>
      <x:c r="H29" s="28" t="str">
        <x:v>不强迫加入鞋包和第二件商品；只在新增关系有不可替代价值时加入。</x:v>
      </x:c>
      <x:c r="I29" s="28" t="str">
        <x:v>为了格式完整机械生成三套穿法或购物清单。</x:v>
      </x:c>
      <x:c r="J29" s="28" t="str">
        <x:v>batch_4_be</x:v>
      </x:c>
      <x:c r="K29" s="28" t="str">
        <x:v>evaluation_candidate</x:v>
      </x:c>
    </x:row>
    <x:row r="30">
      <x:c r="A30" s="28" t="str">
        <x:v>BE-V10</x:v>
      </x:c>
      <x:c r="B30" s="28" t="str">
        <x:v>relationship_carrier</x:v>
      </x:c>
      <x:c r="C30" s="28" t="str">
        <x:v>relationship_carrier</x:v>
      </x:c>
      <x:c r="D30" s="28" t="str">
        <x:v>P5_visual_styling_story</x:v>
      </x:c>
      <x:c r="E30" s="28" t="str">
        <x:v>B-VIS-003</x:v>
      </x:c>
      <x:c r="F30" s="28" t="str">
        <x:v>offline_gold</x:v>
      </x:c>
      <x:c r="G30" s="28" t="str">
        <x:v>画面只展示商品平铺和模特静站，未体现身体、动作、组合或环境关系。</x:v>
      </x:c>
      <x:c r="H30" s="28" t="str">
        <x:v>若没有具体可见关系，判为普通商品展示/P2 辅助视觉，不判 P5。</x:v>
      </x:c>
      <x:c r="I30" s="28" t="str">
        <x:v>以商品出现、背景好看或品牌 Logo 自证穿着想象。</x:v>
      </x:c>
      <x:c r="J30" s="28" t="str">
        <x:v>batch_4_be</x:v>
      </x:c>
      <x:c r="K30" s="28" t="str">
        <x:v>evaluation_candidate</x:v>
      </x:c>
    </x:row>
    <x:row r="31">
      <x:c r="A31" s="28" t="str">
        <x:v>BE-V11</x:v>
      </x:c>
      <x:c r="B31" s="28" t="str">
        <x:v>visual_variable_control</x:v>
      </x:c>
      <x:c r="C31" s="28" t="str">
        <x:v>visual_variable_control</x:v>
      </x:c>
      <x:c r="D31" s="28" t="str">
        <x:v>P5_visual_styling_story; P1_dressing_decision; P2_product_truth</x:v>
      </x:c>
      <x:c r="E31" s="28" t="str">
        <x:v>B-VIS-004; E-VISUAL-004</x:v>
      </x:c>
      <x:c r="F31" s="28" t="str">
        <x:v>offline_regression</x:v>
      </x:c>
      <x:c r="G31" s="28" t="str">
        <x:v>比较两种穿着状态，但同时更换人物、机位、光线、内搭和动作。</x:v>
      </x:c>
      <x:c r="H31" s="28" t="str">
        <x:v>系统应收敛主要变量并保留足够不变量，或放弃“变化证明”口径。</x:v>
      </x:c>
      <x:c r="I31" s="28" t="str">
        <x:v>把不同拍摄条件造成的差异归因于商品/造型。</x:v>
      </x:c>
      <x:c r="J31" s="28" t="str">
        <x:v>batch_4_be</x:v>
      </x:c>
      <x:c r="K31" s="28" t="str">
        <x:v>evaluation_candidate</x:v>
      </x:c>
    </x:row>
    <x:row r="32">
      <x:c r="A32" s="28" t="str">
        <x:v>BE-V12</x:v>
      </x:c>
      <x:c r="B32" s="28" t="str">
        <x:v>brand_visual_sensitivity</x:v>
      </x:c>
      <x:c r="C32" s="28" t="str">
        <x:v>brand_visual_sensitivity</x:v>
      </x:c>
      <x:c r="D32" s="28" t="str">
        <x:v>P5_visual_styling_story; P3_brand_life_narrative; P4_local_response</x:v>
      </x:c>
      <x:c r="E32" s="28" t="str">
        <x:v>B-VIS-005</x:v>
      </x:c>
      <x:c r="F32" s="28" t="str">
        <x:v>offline_regression</x:v>
      </x:c>
      <x:c r="G32" s="28" t="str">
        <x:v>删除品牌名、Logo和固定滤镜后，内容仍可原封不动交给任何品牌。</x:v>
      </x:c>
      <x:c r="H32" s="28" t="str">
        <x:v>品牌基线应实质改变视觉组织；否则后台重写，不按锚点数量机械通过。</x:v>
      </x:c>
      <x:c r="I32" s="28" t="str">
        <x:v>用品牌色、片尾和标识替代品牌审美结构。</x:v>
      </x:c>
      <x:c r="J32" s="28" t="str">
        <x:v>batch_4_be</x:v>
      </x:c>
      <x:c r="K32" s="28" t="str">
        <x:v>evaluation_candidate</x:v>
      </x:c>
    </x:row>
    <x:row r="33">
      <x:c r="A33" s="28" t="str">
        <x:v>BE-V13</x:v>
      </x:c>
      <x:c r="B33" s="28" t="str">
        <x:v>non_narrative_visual</x:v>
      </x:c>
      <x:c r="C33" s="28" t="str">
        <x:v>non_narrative_visual</x:v>
      </x:c>
      <x:c r="D33" s="28" t="str">
        <x:v>P5_visual_styling_story</x:v>
      </x:c>
      <x:c r="E33" s="28" t="str">
        <x:v>B-VIS-006; E-FORM-002</x:v>
      </x:c>
      <x:c r="F33" s="28" t="str">
        <x:v>offline_gold</x:v>
      </x:c>
      <x:c r="G33" s="28" t="str">
        <x:v>一个完整造型关系可由单帧和一次动作直接看见，用户明确不要讲故事。</x:v>
      </x:c>
      <x:c r="H33" s="28" t="str">
        <x:v>交付纯视觉或极少文字的完整 P5；不强加人物冲突、对白和反转。</x:v>
      </x:c>
      <x:c r="I33" s="28" t="str">
        <x:v>认为没有故事就不完整，或把纯视觉做成无主线镜头拼贴。</x:v>
      </x:c>
      <x:c r="J33" s="28" t="str">
        <x:v>batch_4_be</x:v>
      </x:c>
      <x:c r="K33" s="28" t="str">
        <x:v>evaluation_candidate</x:v>
      </x:c>
    </x:row>
    <x:row r="34">
      <x:c r="A34" s="28" t="str">
        <x:v>BE-V14</x:v>
      </x:c>
      <x:c r="B34" s="28" t="str">
        <x:v>resource_grammar_decoupling</x:v>
      </x:c>
      <x:c r="C34" s="28" t="str">
        <x:v>resource_grammar_decoupling</x:v>
      </x:c>
      <x:c r="D34" s="28" t="str">
        <x:v>P1_dressing_decision; P2_product_truth; P3_brand_life_narrative; P4_local_response; P5_visual_styling_story</x:v>
      </x:c>
      <x:c r="E34" s="28" t="str">
        <x:v>E-RESOURCE-001</x:v>
      </x:c>
      <x:c r="F34" s="28" t="str">
        <x:v>offline_gold</x:v>
      </x:c>
      <x:c r="G34" s="28" t="str">
        <x:v>同一任务分别给出一人一手机与三人团队条件。</x:v>
      </x:c>
      <x:c r="H34" s="28" t="str">
        <x:v>可选择不同语法和制作展开，但主要产品价值保持；单人不被限为口播，团队不被强制故事化。</x:v>
      </x:c>
      <x:c r="I34" s="28" t="str">
        <x:v>建立门店版/总部版产品或固定资源—形式映射。</x:v>
      </x:c>
      <x:c r="J34" s="28" t="str">
        <x:v>batch_4_be</x:v>
      </x:c>
      <x:c r="K34" s="28" t="str">
        <x:v>evaluation_candidate</x:v>
      </x:c>
    </x:row>
    <x:row r="35">
      <x:c r="A35" s="28" t="str">
        <x:v>BE-V15</x:v>
      </x:c>
      <x:c r="B35" s="28" t="str">
        <x:v>compilation_order</x:v>
      </x:c>
      <x:c r="C35" s="28" t="str">
        <x:v>compilation_order</x:v>
      </x:c>
      <x:c r="D35" s="28" t="str">
        <x:v>P1_dressing_decision; P2_product_truth; P3_brand_life_narrative; P4_local_response; P5_visual_styling_story</x:v>
      </x:c>
      <x:c r="E35" s="28" t="str">
        <x:v>E-RESOURCE-002</x:v>
      </x:c>
      <x:c r="F35" s="28" t="str">
        <x:v>offline_regression</x:v>
      </x:c>
      <x:c r="G35" s="28" t="str">
        <x:v>输入同时给出商品、平台、时长、音效和三种形式，但主要成果未明确。</x:v>
      </x:c>
      <x:c r="H35" s="28" t="str">
        <x:v>先按主任务损失测试确定一个产品，再确定承重关系、表现语法和资源。</x:v>
      </x:c>
      <x:c r="I35" s="28" t="str">
        <x:v>直接输出一张九项媒体字段表或形式拼盘。</x:v>
      </x:c>
      <x:c r="J35" s="28" t="str">
        <x:v>batch_4_be</x:v>
      </x:c>
      <x:c r="K35" s="28" t="str">
        <x:v>evaluation_candidate</x:v>
      </x:c>
    </x:row>
    <x:row r="36">
      <x:c r="A36" s="28" t="str">
        <x:v>BE-V16</x:v>
      </x:c>
      <x:c r="B36" s="28" t="str">
        <x:v>single_current_version</x:v>
      </x:c>
      <x:c r="C36" s="28" t="str">
        <x:v>single_current_version</x:v>
      </x:c>
      <x:c r="D36" s="28" t="str">
        <x:v>P1_dressing_decision; P2_product_truth; P3_brand_life_narrative; P4_local_response; P5_visual_styling_story</x:v>
      </x:c>
      <x:c r="E36" s="28" t="str">
        <x:v>E-RESOURCE-003</x:v>
      </x:c>
      <x:c r="F36" s="28" t="str">
        <x:v>offline_gold</x:v>
      </x:c>
      <x:c r="G36" s="28" t="str">
        <x:v>门店明确只有一人一手机，用户要求可直接拍发。</x:v>
      </x:c>
      <x:c r="H36" s="28" t="str">
        <x:v>只交一个当前条件下完整主版本；不先给团队方案，也不默认附低配/高配。</x:v>
      </x:c>
      <x:c r="I36" s="28" t="str">
        <x:v>主方案不可执行，只在末尾写“可自行简化”。</x:v>
      </x:c>
      <x:c r="J36" s="28" t="str">
        <x:v>batch_4_be</x:v>
      </x:c>
      <x:c r="K36" s="28" t="str">
        <x:v>evaluation_candidate</x:v>
      </x:c>
    </x:row>
    <x:row r="37">
      <x:c r="A37" s="28" t="str">
        <x:v>BE-V17</x:v>
      </x:c>
      <x:c r="B37" s="28" t="str">
        <x:v>team_expansion</x:v>
      </x:c>
      <x:c r="C37" s="28" t="str">
        <x:v>team_expansion</x:v>
      </x:c>
      <x:c r="D37" s="28" t="str">
        <x:v>P5_visual_styling_story; P1_dressing_decision; P2_product_truth; P3_brand_life_narrative; P4_local_response</x:v>
      </x:c>
      <x:c r="E37" s="28" t="str">
        <x:v>E-RESOURCE-004</x:v>
      </x:c>
      <x:c r="F37" s="28" t="str">
        <x:v>offline_regression</x:v>
      </x:c>
      <x:c r="G37" s="28" t="str">
        <x:v>将同一命题升级为总部团队制作，增加人物、空间和灯光。</x:v>
      </x:c>
      <x:c r="H37" s="28" t="str">
        <x:v>新增资源深化同一主线和品牌视觉；不把内容改成空泛宣传片或另一产品。</x:v>
      </x:c>
      <x:c r="I37" s="28" t="str">
        <x:v>复杂度本身成为价值，真实商品关系被布景替代。</x:v>
      </x:c>
      <x:c r="J37" s="28" t="str">
        <x:v>batch_4_be</x:v>
      </x:c>
      <x:c r="K37" s="28" t="str">
        <x:v>evaluation_candidate</x:v>
      </x:c>
    </x:row>
    <x:row r="38">
      <x:c r="A38" s="28" t="str">
        <x:v>BE-V18</x:v>
      </x:c>
      <x:c r="B38" s="28" t="str">
        <x:v>solo_feasibility_red_team</x:v>
      </x:c>
      <x:c r="C38" s="28" t="str">
        <x:v>solo_feasibility_red_team</x:v>
      </x:c>
      <x:c r="D38" s="28" t="str">
        <x:v>P5_visual_styling_story; P3_brand_life_narrative; P4_local_response</x:v>
      </x:c>
      <x:c r="E38" s="28" t="str">
        <x:v>E-SOLO-001</x:v>
      </x:c>
      <x:c r="F38" s="28" t="str">
        <x:v>offline_gold</x:v>
      </x:c>
      <x:c r="G38" s="28" t="str">
        <x:v>脚本标注“一人制作”，却要求摄影师围绕人物移动跟拍。</x:v>
      </x:c>
      <x:c r="H38" s="28" t="str">
        <x:v>判不可执行并重写为固定机位、自拍或可独立完成的补拍方案。</x:v>
      </x:c>
      <x:c r="I38" s="28" t="str">
        <x:v>把第三人称移动跟拍视为单人可完成。</x:v>
      </x:c>
      <x:c r="J38" s="28" t="str">
        <x:v>batch_4_be</x:v>
      </x:c>
      <x:c r="K38" s="28" t="str">
        <x:v>evaluation_candidate</x:v>
      </x:c>
    </x:row>
    <x:row r="39">
      <x:c r="A39" s="28" t="str">
        <x:v>BE-V19</x:v>
      </x:c>
      <x:c r="B39" s="28" t="str">
        <x:v>solo_fixed_camera_pass</x:v>
      </x:c>
      <x:c r="C39" s="28" t="str">
        <x:v>solo_fixed_camera_pass</x:v>
      </x:c>
      <x:c r="D39" s="28" t="str">
        <x:v>P5_visual_styling_story; P1_dressing_decision; P2_product_truth; P3_brand_life_narrative; P4_local_response</x:v>
      </x:c>
      <x:c r="E39" s="28" t="str">
        <x:v>E-SOLO-001; E-SOLO-002; E-SOLO-004</x:v>
      </x:c>
      <x:c r="F39" s="28" t="str">
        <x:v>offline_gold</x:v>
      </x:c>
      <x:c r="G39" s="28" t="str">
        <x:v>普通门店、一部手机、固定支架、自然光，需要全身和局部。</x:v>
      </x:c>
      <x:c r="H39" s="28" t="str">
        <x:v>用动作区、人物距离与独立补拍完成必要景别；背景和光线不误导商品。</x:v>
      </x:c>
      <x:c r="I39" s="28" t="str">
        <x:v>虚构摄影师、昂贵设备或多个外景。</x:v>
      </x:c>
      <x:c r="J39" s="28" t="str">
        <x:v>batch_4_be</x:v>
      </x:c>
      <x:c r="K39" s="28" t="str">
        <x:v>evaluation_candidate</x:v>
      </x:c>
    </x:row>
    <x:row r="40">
      <x:c r="A40" s="28" t="str">
        <x:v>BE-V20</x:v>
      </x:c>
      <x:c r="B40" s="28" t="str">
        <x:v>action_continuity</x:v>
      </x:c>
      <x:c r="C40" s="28" t="str">
        <x:v>action_continuity</x:v>
      </x:c>
      <x:c r="D40" s="28" t="str">
        <x:v>P5_visual_styling_story; P1_dressing_decision; P2_product_truth</x:v>
      </x:c>
      <x:c r="E40" s="28" t="str">
        <x:v>E-SOLO-003; E-VISUAL-004</x:v>
      </x:c>
      <x:c r="F40" s="28" t="str">
        <x:v>offline_regression</x:v>
      </x:c>
      <x:c r="G40" s="28" t="str">
        <x:v>同一动作跨两次拍摄切换商品状态。</x:v>
      </x:c>
      <x:c r="H40" s="28" t="str">
        <x:v>方向、位置与速度足以连续；转场服务变化理解，不抢主线。</x:v>
      </x:c>
      <x:c r="I40" s="28" t="str">
        <x:v>对位不准、通过剪辑伪造效果或固化同一转场模板。</x:v>
      </x:c>
      <x:c r="J40" s="28" t="str">
        <x:v>batch_4_be</x:v>
      </x:c>
      <x:c r="K40" s="28" t="str">
        <x:v>evaluation_candidate</x:v>
      </x:c>
    </x:row>
    <x:row r="41">
      <x:c r="A41" s="28" t="str">
        <x:v>BE-V21</x:v>
      </x:c>
      <x:c r="B41" s="28" t="str">
        <x:v>form_by_product_value</x:v>
      </x:c>
      <x:c r="C41" s="28" t="str">
        <x:v>form_by_product_value</x:v>
      </x:c>
      <x:c r="D41" s="28" t="str">
        <x:v>P1_dressing_decision; P2_product_truth; P3_brand_life_narrative; P4_local_response; P5_visual_styling_story</x:v>
      </x:c>
      <x:c r="E41" s="28" t="str">
        <x:v>E-FORM-001</x:v>
      </x:c>
      <x:c r="F41" s="28" t="str">
        <x:v>offline_gold</x:v>
      </x:c>
      <x:c r="G41" s="28" t="str">
        <x:v>同一件短外套分别要求帮助选择、解释商品、建立人格、回应本地问题和创造欲望。</x:v>
      </x:c>
      <x:c r="H41" s="28" t="str">
        <x:v>可调用同样的画面能力，但分别保持 P1/P2/P3/P4/P5 主价值，不按关键词路由。</x:v>
      </x:c>
      <x:c r="I41" s="28" t="str">
        <x:v>有商品就P2、有画面就P5、有门店就P4。</x:v>
      </x:c>
      <x:c r="J41" s="28" t="str">
        <x:v>batch_4_be</x:v>
      </x:c>
      <x:c r="K41" s="28" t="str">
        <x:v>evaluation_candidate</x:v>
      </x:c>
    </x:row>
    <x:row r="42">
      <x:c r="A42" s="28" t="str">
        <x:v>BE-V22</x:v>
      </x:c>
      <x:c r="B42" s="28" t="str">
        <x:v>speech_visual_division</x:v>
      </x:c>
      <x:c r="C42" s="28" t="str">
        <x:v>speech_visual_division</x:v>
      </x:c>
      <x:c r="D42" s="28" t="str">
        <x:v>P1_dressing_decision; P2_product_truth; P4_local_response; P5_visual_styling_story; P3_brand_life_narrative</x:v>
      </x:c>
      <x:c r="E42" s="28" t="str">
        <x:v>E-FORM-003; E-FORM-004</x:v>
      </x:c>
      <x:c r="F42" s="28" t="str">
        <x:v>offline_regression</x:v>
      </x:c>
      <x:c r="G42" s="28" t="str">
        <x:v>核心变化可由动作展示，但仍需要一句条件解释。</x:v>
      </x:c>
      <x:c r="H42" s="28" t="str">
        <x:v>边讲边演示或旁白与画面分工；话语不逐帧复述，画面不替语言承担条件。</x:v>
      </x:c>
      <x:c r="I42" s="28" t="str">
        <x:v>口播念参数、旁白声称画面未显示的结果。</x:v>
      </x:c>
      <x:c r="J42" s="28" t="str">
        <x:v>batch_4_be</x:v>
      </x:c>
      <x:c r="K42" s="28" t="str">
        <x:v>evaluation_candidate</x:v>
      </x:c>
    </x:row>
    <x:row r="43">
      <x:c r="A43" s="28" t="str">
        <x:v>BE-V23</x:v>
      </x:c>
      <x:c r="B43" s="28" t="str">
        <x:v>dialogue_boundary</x:v>
      </x:c>
      <x:c r="C43" s="28" t="str">
        <x:v>dialogue_boundary</x:v>
      </x:c>
      <x:c r="D43" s="28" t="str">
        <x:v>P3_brand_life_narrative; P4_local_response; P1_dressing_decision; P2_product_truth</x:v>
      </x:c>
      <x:c r="E43" s="28" t="str">
        <x:v>E-FORM-005</x:v>
      </x:c>
      <x:c r="F43" s="28" t="str">
        <x:v>offline_gold</x:v>
      </x:c>
      <x:c r="G43" s="28" t="str">
        <x:v>用户要求“双人对话更有趣”，但任务没有真实第二人或关系差异。</x:v>
      </x:c>
      <x:c r="H43" s="28" t="str">
        <x:v>不强加双人；可改为单人公开回应、屏显问题或明确演绎。</x:v>
      </x:c>
      <x:c r="I43" s="28" t="str">
        <x:v>虚构顾客对白和真实门店案例。</x:v>
      </x:c>
      <x:c r="J43" s="28" t="str">
        <x:v>batch_4_be</x:v>
      </x:c>
      <x:c r="K43" s="28" t="str">
        <x:v>evaluation_candidate</x:v>
      </x:c>
    </x:row>
    <x:row r="44">
      <x:c r="A44" s="28" t="str">
        <x:v>BE-V24</x:v>
      </x:c>
      <x:c r="B44" s="28" t="str">
        <x:v>image_sequence</x:v>
      </x:c>
      <x:c r="C44" s="28" t="str">
        <x:v>image_sequence</x:v>
      </x:c>
      <x:c r="D44" s="28" t="str">
        <x:v>P1_dressing_decision; P2_product_truth; P3_brand_life_narrative; P4_local_response; P5_visual_styling_story</x:v>
      </x:c>
      <x:c r="E44" s="28" t="str">
        <x:v>E-FORM-006</x:v>
      </x:c>
      <x:c r="F44" s="28" t="str">
        <x:v>offline_regression</x:v>
      </x:c>
      <x:c r="G44" s="28" t="str">
        <x:v>将一条视频改为图片组。</x:v>
      </x:c>
      <x:c r="H44" s="28" t="str">
        <x:v>重新设计首图和每张图的唯一职责；图片数按需要，不逐帧截图。</x:v>
      </x:c>
      <x:c r="I44" s="28" t="str">
        <x:v>九宫格重复站姿、每图同一句标题或只裁切视频帧。</x:v>
      </x:c>
      <x:c r="J44" s="28" t="str">
        <x:v>batch_4_be</x:v>
      </x:c>
      <x:c r="K44" s="28" t="str">
        <x:v>evaluation_candidate</x:v>
      </x:c>
    </x:row>
    <x:row r="45">
      <x:c r="A45" s="28" t="str">
        <x:v>BE-V25</x:v>
      </x:c>
      <x:c r="B45" s="28" t="str">
        <x:v>natural_duration</x:v>
      </x:c>
      <x:c r="C45" s="28" t="str">
        <x:v>natural_duration</x:v>
      </x:c>
      <x:c r="D45" s="28" t="str">
        <x:v>P1_dressing_decision; P2_product_truth; P3_brand_life_narrative; P4_local_response; P5_visual_styling_story</x:v>
      </x:c>
      <x:c r="E45" s="28" t="str">
        <x:v>E-TIME-001</x:v>
      </x:c>
      <x:c r="F45" s="28" t="str">
        <x:v>offline_gold</x:v>
      </x:c>
      <x:c r="G45" s="28" t="str">
        <x:v>用户未指定时长，系统需要给一个可完整发布的版本。</x:v>
      </x:c>
      <x:c r="H45" s="28" t="str">
        <x:v>按主价值和承重内容形成无冗余自然时长；不套统一15/30/45秒。</x:v>
      </x:c>
      <x:c r="I45" s="28" t="str">
        <x:v>为满足固定秒数删除关键边界，或以完整为由注水。</x:v>
      </x:c>
      <x:c r="J45" s="28" t="str">
        <x:v>batch_4_be</x:v>
      </x:c>
      <x:c r="K45" s="28" t="str">
        <x:v>evaluation_candidate</x:v>
      </x:c>
    </x:row>
    <x:row r="46">
      <x:c r="A46" s="28" t="str">
        <x:v>BE-V26</x:v>
      </x:c>
      <x:c r="B46" s="28" t="str">
        <x:v>duration_and_cross_format</x:v>
      </x:c>
      <x:c r="C46" s="28" t="str">
        <x:v>duration_and_cross_format</x:v>
      </x:c>
      <x:c r="D46" s="28" t="str">
        <x:v>P1_dressing_decision; P2_product_truth; P3_brand_life_narrative; P4_local_response; P5_visual_styling_story</x:v>
      </x:c>
      <x:c r="E46" s="28" t="str">
        <x:v>E-TIME-002; E-TIME-003; E-ADAPT-001</x:v>
      </x:c>
      <x:c r="F46" s="28" t="str">
        <x:v>offline_gold</x:v>
      </x:c>
      <x:c r="G46" s="28" t="str">
        <x:v>同一成品分别要求缩短、延长并改为另一媒体。</x:v>
      </x:c>
      <x:c r="H46" s="28" t="str">
        <x:v>缩短按功能重组；延长增加真实证据/关系；跨媒体保持主价值、事实、品牌账号和商品绑定。</x:v>
      </x:c>
      <x:c r="I46" s="28" t="str">
        <x:v>机械截断、同义反复、逐句搬运或只裁切画幅。</x:v>
      </x:c>
      <x:c r="J46" s="28" t="str">
        <x:v>batch_4_be</x:v>
      </x:c>
      <x:c r="K46" s="28" t="str">
        <x:v>evaluation_candidate</x:v>
      </x:c>
    </x:row>
    <x:row r="47">
      <x:c r="A47" s="28" t="str">
        <x:v>BE-V27</x:v>
      </x:c>
      <x:c r="B47" s="28" t="str">
        <x:v>visual_entry_hierarchy_sequence</x:v>
      </x:c>
      <x:c r="C47" s="28" t="str">
        <x:v>visual_entry_hierarchy_sequence</x:v>
      </x:c>
      <x:c r="D47" s="28" t="str">
        <x:v>P5_visual_styling_story; P1_dressing_decision; P2_product_truth; P3_brand_life_narrative; P4_local_response</x:v>
      </x:c>
      <x:c r="E47" s="28" t="str">
        <x:v>E-VISUAL-001; E-VISUAL-002; E-VISUAL-003</x:v>
      </x:c>
      <x:c r="F47" s="28" t="str">
        <x:v>offline_gold</x:v>
      </x:c>
      <x:c r="G47" s="28" t="str">
        <x:v>首画面为普通站姿，之后堆叠多个漂亮镜头才出现真正关系。</x:v>
      </x:c>
      <x:c r="H47" s="28" t="str">
        <x:v>首个主要视觉入口先给出具体承诺，后续按主次和顺序兑现；镜头数量不固定。</x:v>
      </x:c>
      <x:c r="I47" s="28" t="str">
        <x:v>开场与主线无关、所有元素同等突出、镜头可任意交换。</x:v>
      </x:c>
      <x:c r="J47" s="28" t="str">
        <x:v>batch_4_be</x:v>
      </x:c>
      <x:c r="K47" s="28" t="str">
        <x:v>evaluation_candidate</x:v>
      </x:c>
    </x:row>
    <x:row r="48">
      <x:c r="A48" s="28" t="str">
        <x:v>BE-V28</x:v>
      </x:c>
      <x:c r="B48" s="28" t="str">
        <x:v>text_not_evidence</x:v>
      </x:c>
      <x:c r="C48" s="28" t="str">
        <x:v>text_not_evidence</x:v>
      </x:c>
      <x:c r="D48" s="28" t="str">
        <x:v>P5_visual_styling_story; P1_dressing_decision; P2_product_truth; P3_brand_life_narrative; P4_local_response</x:v>
      </x:c>
      <x:c r="E48" s="28" t="str">
        <x:v>E-TEXT-001</x:v>
      </x:c>
      <x:c r="F48" s="28" t="str">
        <x:v>offline_regression</x:v>
      </x:c>
      <x:c r="G48" s="28" t="str">
        <x:v>屏显文字写“轮廓先到/纹理先到”，但画面中两者没有可辨差异。</x:v>
      </x:c>
      <x:c r="H48" s="28" t="str">
        <x:v>不得以文字代替视觉证据；重拍、改命题或退出 P5。</x:v>
      </x:c>
      <x:c r="I48" s="28" t="str">
        <x:v>文字正确就判画面通过。</x:v>
      </x:c>
      <x:c r="J48" s="28" t="str">
        <x:v>batch_4_be</x:v>
      </x:c>
      <x:c r="K48" s="28" t="str">
        <x:v>evaluation_candidate</x:v>
      </x:c>
    </x:row>
    <x:row r="49">
      <x:c r="A49" s="28" t="str">
        <x:v>BE-V29</x:v>
      </x:c>
      <x:c r="B49" s="28" t="str">
        <x:v>sound_color_fidelity</x:v>
      </x:c>
      <x:c r="C49" s="28" t="str">
        <x:v>sound_color_fidelity</x:v>
      </x:c>
      <x:c r="D49" s="28" t="str">
        <x:v>P5_visual_styling_story; P2_product_truth; P3_brand_life_narrative; P4_local_response; P1_dressing_decision</x:v>
      </x:c>
      <x:c r="E49" s="28" t="str">
        <x:v>E-SOUND-001; E-SOUND-002; E-COLOR-001</x:v>
      </x:c>
      <x:c r="F49" s="28" t="str">
        <x:v>offline_gold</x:v>
      </x:c>
      <x:c r="G49" s="28" t="str">
        <x:v>音乐强、转场密集、滤镜把深绿格纹压成近黑，衣料声完全听不见。</x:v>
      </x:c>
      <x:c r="H49" s="28" t="str">
        <x:v>降低声音刺激，保留真实动作/衣料声；调色不能误导商品颜色和纹理。</x:v>
      </x:c>
      <x:c r="I49" s="28" t="str">
        <x:v>音乐和滤镜替代商品关系，或伪造材质声音。</x:v>
      </x:c>
      <x:c r="J49" s="28" t="str">
        <x:v>batch_4_be</x:v>
      </x:c>
      <x:c r="K49" s="28" t="str">
        <x:v>evaluation_candidate</x:v>
      </x:c>
    </x:row>
    <x:row r="50">
      <x:c r="A50" s="28" t="str">
        <x:v>BE-V30</x:v>
      </x:c>
      <x:c r="B50" s="28" t="str">
        <x:v>actuality_provenance</x:v>
      </x:c>
      <x:c r="C50" s="28" t="str">
        <x:v>actuality_provenance</x:v>
      </x:c>
      <x:c r="D50" s="28" t="str">
        <x:v>P1_dressing_decision; P2_product_truth; P3_brand_life_narrative; P4_local_response; P5_visual_styling_story</x:v>
      </x:c>
      <x:c r="E50" s="28" t="str">
        <x:v>E-ACTUALITY-001; E-MEDIA-001</x:v>
      </x:c>
      <x:c r="F50" s="28" t="str">
        <x:v>offline_gold</x:v>
      </x:c>
      <x:c r="G50" s="28" t="str">
        <x:v>用户上传一张合成的待拍参考图，并称故事来自真实经历。</x:v>
      </x:c>
      <x:c r="H50" s="28" t="str">
        <x:v>故事前提可按用户提供使用；媒体标为概念/合成参考，不能因“用户上传”推定为真实抓拍或已获所有用途授权。</x:v>
      </x:c>
      <x:c r="I50" s="28" t="str">
        <x:v>把故事真实性、媒体实际性、上传路径和权利状态合并判断。</x:v>
      </x:c>
      <x:c r="J50" s="28" t="str">
        <x:v>batch_4_be</x:v>
      </x:c>
      <x:c r="K50" s="28" t="str">
        <x:v>evaluation_candidate</x:v>
      </x:c>
    </x:row>
    <x:row r="51">
      <x:c r="A51" s="28" t="str">
        <x:v>CDF-V01</x:v>
      </x:c>
      <x:c r="B51" s="28" t="str">
        <x:v>scene_boundary</x:v>
      </x:c>
      <x:c r="C51" s="28" t="str">
        <x:v>scene_boundary</x:v>
      </x:c>
      <x:c r="D51" s="28" t="str">
        <x:v>P1_dressing_decision; P3_brand_life_narrative; P4_local_response</x:v>
      </x:c>
      <x:c r="E51" s="28" t="str">
        <x:v>C-COMMUTE-001; C-COMMUTE-003</x:v>
      </x:c>
      <x:c r="F51" s="28" t="str">
        <x:v>offline_gold</x:v>
      </x:c>
      <x:c r="G51" s="28" t="str">
        <x:v>种子只写“下午开完会去接孩子，不想带第二套”。</x:v>
      </x:c>
      <x:c r="H51" s="28" t="str">
        <x:v>识别会议、移动、接孩子和温差等多阶段张力；可以路由 P1 或 P3，但不得自动补造职业、家庭结构、天气与商品。</x:v>
      </x:c>
      <x:c r="I51" s="28" t="str">
        <x:v>写成“所有职场妈妈都需要一套万能通勤装”或直接推荐固定单品模板。</x:v>
      </x:c>
      <x:c r="J51" s="28" t="str">
        <x:v>batch_3_cdf</x:v>
      </x:c>
      <x:c r="K51" s="28" t="str">
        <x:v>evaluation_candidate</x:v>
      </x:c>
    </x:row>
    <x:row r="52">
      <x:c r="A52" s="28" t="str">
        <x:v>CDF-V02</x:v>
      </x:c>
      <x:c r="B52" s="28" t="str">
        <x:v>scene_boundary</x:v>
      </x:c>
      <x:c r="C52" s="28" t="str">
        <x:v>scene_boundary</x:v>
      </x:c>
      <x:c r="D52" s="28" t="str">
        <x:v>P1_dressing_decision; P4_local_response</x:v>
      </x:c>
      <x:c r="E52" s="28" t="str">
        <x:v>C-COMMUTE-002</x:v>
      </x:c>
      <x:c r="F52" s="28" t="str">
        <x:v>offline_regression</x:v>
      </x:c>
      <x:c r="G52" s="28" t="str">
        <x:v>把通勤方式从步行+地铁改成驾车，其他条件不变。</x:v>
      </x:c>
      <x:c r="H52" s="28" t="str">
        <x:v>活动、风雨暴露、携带和鞋服判断应变化；正式度与品牌立场保持。</x:v>
      </x:c>
      <x:c r="I52" s="28" t="str">
        <x:v>只替换交通名词，或仍机械给出相同动作与风险说明。</x:v>
      </x:c>
      <x:c r="J52" s="28" t="str">
        <x:v>batch_3_cdf</x:v>
      </x:c>
      <x:c r="K52" s="28" t="str">
        <x:v>evaluation_candidate</x:v>
      </x:c>
    </x:row>
    <x:row r="53">
      <x:c r="A53" s="28" t="str">
        <x:v>CDF-V03</x:v>
      </x:c>
      <x:c r="B53" s="28" t="str">
        <x:v>stereotype_red_team</x:v>
      </x:c>
      <x:c r="C53" s="28" t="str">
        <x:v>stereotype_red_team</x:v>
      </x:c>
      <x:c r="D53" s="28" t="str">
        <x:v>P1_dressing_decision; P3_brand_life_narrative; P4_local_response</x:v>
      </x:c>
      <x:c r="E53" s="28" t="str">
        <x:v>C-CARE-001; C-CARE-003</x:v>
      </x:c>
      <x:c r="F53" s="28" t="str">
        <x:v>offline_gold</x:v>
      </x:c>
      <x:c r="G53" s="28" t="str">
        <x:v>种子：“出门前孩子突然要我抱，刚整理好的衣服又乱了。”</x:v>
      </x:c>
      <x:c r="H53" s="28" t="str">
        <x:v>从动作便利、时间打断或未完成毛边中形成价值；不默认照护者性别，不强行升华奉献。</x:v>
      </x:c>
      <x:c r="I53" s="28" t="str">
        <x:v>“当妈以后就只能牺牲精致”或把孩子写成制造麻烦的人。</x:v>
      </x:c>
      <x:c r="J53" s="28" t="str">
        <x:v>batch_3_cdf</x:v>
      </x:c>
      <x:c r="K53" s="28" t="str">
        <x:v>evaluation_candidate</x:v>
      </x:c>
    </x:row>
    <x:row r="54">
      <x:c r="A54" s="28" t="str">
        <x:v>CDF-V04</x:v>
      </x:c>
      <x:c r="B54" s="28" t="str">
        <x:v>stereotype_red_team</x:v>
      </x:c>
      <x:c r="C54" s="28" t="str">
        <x:v>stereotype_red_team</x:v>
      </x:c>
      <x:c r="D54" s="28" t="str">
        <x:v>P3_brand_life_narrative; P4_local_response</x:v>
      </x:c>
      <x:c r="E54" s="28" t="str">
        <x:v>C-CARE-002; C-CARE-003</x:v>
      </x:c>
      <x:c r="F54" s="28" t="str">
        <x:v>offline_gold</x:v>
      </x:c>
      <x:c r="G54" s="28" t="str">
        <x:v>种子：“婆婆觉得给孩子买衣服只要便宜耐穿，我觉得也该好看。”</x:v>
      </x:c>
      <x:c r="H54" s="28" t="str">
        <x:v>识别耐穿、预算、审美和孩子表达的优先级差异；保留未解决关系，不造婆媳对立。</x:v>
      </x:c>
      <x:c r="I54" s="28" t="str">
        <x:v>把长辈写成落后、年轻人写成虚荣，或凭空补充争吵结果。</x:v>
      </x:c>
      <x:c r="J54" s="28" t="str">
        <x:v>batch_3_cdf</x:v>
      </x:c>
      <x:c r="K54" s="28" t="str">
        <x:v>evaluation_candidate</x:v>
      </x:c>
    </x:row>
    <x:row r="55">
      <x:c r="A55" s="28" t="str">
        <x:v>CDF-V05</x:v>
      </x:c>
      <x:c r="B55" s="28" t="str">
        <x:v>scene_boundary</x:v>
      </x:c>
      <x:c r="C55" s="28" t="str">
        <x:v>scene_boundary</x:v>
      </x:c>
      <x:c r="D55" s="28" t="str">
        <x:v>P1_dressing_decision; P3_brand_life_narrative; P5_visual_styling_story</x:v>
      </x:c>
      <x:c r="E55" s="28" t="str">
        <x:v>C-TRAVEL-001; C-TRAVEL-002; C-TRAVEL-003</x:v>
      </x:c>
      <x:c r="F55" s="28" t="str">
        <x:v>offline_gold</x:v>
      </x:c>
      <x:c r="G55" s="28" t="str">
        <x:v>种子：“三天只带一件外套，目的地天气还没确定。”</x:v>
      </x:c>
      <x:c r="H55" s="28" t="str">
        <x:v>围绕复用、体积、活动和不确定性做条件化判断或视觉命题；明确天气未知。</x:v>
      </x:c>
      <x:c r="I55" s="28" t="str">
        <x:v>虚构目的地天气、行程和洗衣条件，或用“百搭旅行必备”结束。</x:v>
      </x:c>
      <x:c r="J55" s="28" t="str">
        <x:v>batch_3_cdf</x:v>
      </x:c>
      <x:c r="K55" s="28" t="str">
        <x:v>evaluation_candidate</x:v>
      </x:c>
    </x:row>
    <x:row r="56">
      <x:c r="A56" s="28" t="str">
        <x:v>CDF-V06</x:v>
      </x:c>
      <x:c r="B56" s="28" t="str">
        <x:v>stereotype_red_team</x:v>
      </x:c>
      <x:c r="C56" s="28" t="str">
        <x:v>stereotype_red_team</x:v>
      </x:c>
      <x:c r="D56" s="28" t="str">
        <x:v>P1_dressing_decision; P3_brand_life_narrative; P4_local_response; P5_visual_styling_story</x:v>
      </x:c>
      <x:c r="E56" s="28" t="str">
        <x:v>C-SOCIAL-001; C-SOCIAL-002; C-SOCIAL-003</x:v>
      </x:c>
      <x:c r="F56" s="28" t="str">
        <x:v>offline_gold</x:v>
      </x:c>
      <x:c r="G56" s="28" t="str">
        <x:v>种子：“第一次见伴侣的朋友，想让人记住，但不想显得太用力。”</x:v>
      </x:c>
      <x:c r="H56" s="28" t="str">
        <x:v>围绕关系距离、被看见和表达幅度形成有取舍的内容。</x:v>
      </x:c>
      <x:c r="I56" s="28" t="str">
        <x:v>把目标解释为取悦男性、年龄焦虑或固定“高级感”单品。</x:v>
      </x:c>
      <x:c r="J56" s="28" t="str">
        <x:v>batch_3_cdf</x:v>
      </x:c>
      <x:c r="K56" s="28" t="str">
        <x:v>evaluation_candidate</x:v>
      </x:c>
    </x:row>
    <x:row r="57">
      <x:c r="A57" s="28" t="str">
        <x:v>CDF-V07</x:v>
      </x:c>
      <x:c r="B57" s="28" t="str">
        <x:v>scene_boundary</x:v>
      </x:c>
      <x:c r="C57" s="28" t="str">
        <x:v>scene_boundary</x:v>
      </x:c>
      <x:c r="D57" s="28" t="str">
        <x:v>P1_dressing_decision; P3_brand_life_narrative; P5_visual_styling_story</x:v>
      </x:c>
      <x:c r="E57" s="28" t="str">
        <x:v>C-HOME-001; C-HOME-002; C-HOME-003</x:v>
      </x:c>
      <x:c r="F57" s="28" t="str">
        <x:v>offline_regression</x:v>
      </x:c>
      <x:c r="G57" s="28" t="str">
        <x:v>种子：“本来只想下楼拿快递，突然遇到熟人。”</x:v>
      </x:c>
      <x:c r="H57" s="28" t="str">
        <x:v>可以形成快速公共转换、生活反应或视觉变化；承认当前穿着未知。</x:v>
      </x:c>
      <x:c r="I57" s="28" t="str">
        <x:v>羞辱居家状态，或断言“套一件外套就一定体面”。</x:v>
      </x:c>
      <x:c r="J57" s="28" t="str">
        <x:v>batch_3_cdf</x:v>
      </x:c>
      <x:c r="K57" s="28" t="str">
        <x:v>evaluation_candidate</x:v>
      </x:c>
    </x:row>
    <x:row r="58">
      <x:c r="A58" s="28" t="str">
        <x:v>CDF-V08</x:v>
      </x:c>
      <x:c r="B58" s="28" t="str">
        <x:v>counterfactual_locality</x:v>
      </x:c>
      <x:c r="C58" s="28" t="str">
        <x:v>counterfactual_locality</x:v>
      </x:c>
      <x:c r="D58" s="28" t="str">
        <x:v>P3_brand_life_narrative; P4_local_response</x:v>
      </x:c>
      <x:c r="E58" s="28" t="str">
        <x:v>C-LOCAL-001; C-LOCAL-004</x:v>
      </x:c>
      <x:c r="F58" s="28" t="str">
        <x:v>offline_gold</x:v>
      </x:c>
      <x:c r="G58" s="28" t="str">
        <x:v>把杭州替换为成都，但不提供任何新的气候、通勤、节奏或服务条件。</x:v>
      </x:c>
      <x:c r="H58" s="28" t="str">
        <x:v>系统不得仅改地名宣称完成本地化；应请求/搜索必要背景或降级为非 P4。</x:v>
      </x:c>
      <x:c r="I58" s="28" t="str">
        <x:v>换城市名、方言、地标和片尾地址后正文完全相同。</x:v>
      </x:c>
      <x:c r="J58" s="28" t="str">
        <x:v>batch_3_cdf</x:v>
      </x:c>
      <x:c r="K58" s="28" t="str">
        <x:v>evaluation_candidate</x:v>
      </x:c>
    </x:row>
    <x:row r="59">
      <x:c r="A59" s="28" t="str">
        <x:v>CDF-V09</x:v>
      </x:c>
      <x:c r="B59" s="28" t="str">
        <x:v>method_contract</x:v>
      </x:c>
      <x:c r="C59" s="28" t="str">
        <x:v>method_contract</x:v>
      </x:c>
      <x:c r="D59" s="28" t="str">
        <x:v>P1_dressing_decision; P2_product_truth; P4_local_response</x:v>
      </x:c>
      <x:c r="E59" s="28" t="str">
        <x:v>D-DIRECT-001</x:v>
      </x:c>
      <x:c r="F59" s="28" t="str">
        <x:v>offline_gold</x:v>
      </x:c>
      <x:c r="G59" s="28" t="str">
        <x:v>用户问：“这条裤子明天见客户能不能穿？”且已给关键场景与商品事实。</x:v>
      </x:c>
      <x:c r="H59" s="28" t="str">
        <x:v>先给当前条件下的结论，再说明决定条件、反选边界和最短验证动作。</x:v>
      </x:c>
      <x:c r="I59" s="28" t="str">
        <x:v>长篇铺垫、只说因人而异、强加故事或固定三段模板。</x:v>
      </x:c>
      <x:c r="J59" s="28" t="str">
        <x:v>batch_3_cdf</x:v>
      </x:c>
      <x:c r="K59" s="28" t="str">
        <x:v>evaluation_candidate</x:v>
      </x:c>
    </x:row>
    <x:row r="60">
      <x:c r="A60" s="28" t="str">
        <x:v>CDF-V10</x:v>
      </x:c>
      <x:c r="B60" s="28" t="str">
        <x:v>method_contract</x:v>
      </x:c>
      <x:c r="C60" s="28" t="str">
        <x:v>method_contract</x:v>
      </x:c>
      <x:c r="D60" s="28" t="str">
        <x:v>P1_dressing_decision; P2_product_truth; P4_local_response</x:v>
      </x:c>
      <x:c r="E60" s="28" t="str">
        <x:v>D-DIRECT-002</x:v>
      </x:c>
      <x:c r="F60" s="28" t="str">
        <x:v>offline_regression</x:v>
      </x:c>
      <x:c r="G60" s="28" t="str">
        <x:v>结论已经成立，但用户不知道怎样确认。</x:v>
      </x:c>
      <x:c r="H60" s="28" t="str">
        <x:v>给一个低成本可执行动作，并说明观察什么、何时改变结论。</x:v>
      </x:c>
      <x:c r="I60" s="28" t="str">
        <x:v>泛泛“建议试试”、虚构库存/预约能力或一次列十个动作。</x:v>
      </x:c>
      <x:c r="J60" s="28" t="str">
        <x:v>batch_3_cdf</x:v>
      </x:c>
      <x:c r="K60" s="28" t="str">
        <x:v>evaluation_candidate</x:v>
      </x:c>
    </x:row>
    <x:row r="61">
      <x:c r="A61" s="28" t="str">
        <x:v>CDF-V11</x:v>
      </x:c>
      <x:c r="B61" s="28" t="str">
        <x:v>method_contract</x:v>
      </x:c>
      <x:c r="C61" s="28" t="str">
        <x:v>method_contract</x:v>
      </x:c>
      <x:c r="D61" s="28" t="str">
        <x:v>P1_dressing_decision; P2_product_truth; P5_visual_styling_story</x:v>
      </x:c>
      <x:c r="E61" s="28" t="str">
        <x:v>D-EXPLAIN-001</x:v>
      </x:c>
      <x:c r="F61" s="28" t="str">
        <x:v>offline_gold</x:v>
      </x:c>
      <x:c r="G61" s="28" t="str">
        <x:v>输入“短款显高、宽松遮肉”两条俗语。</x:v>
      </x:c>
      <x:c r="H61" s="28" t="str">
        <x:v>重写为条件—效果—原因—代价—不适用，并结合当前任务。</x:v>
      </x:c>
      <x:c r="I61" s="28" t="str">
        <x:v>换几个词后继续作绝对结论，或输出专业课堂。</x:v>
      </x:c>
      <x:c r="J61" s="28" t="str">
        <x:v>batch_3_cdf</x:v>
      </x:c>
      <x:c r="K61" s="28" t="str">
        <x:v>evaluation_candidate</x:v>
      </x:c>
    </x:row>
    <x:row r="62">
      <x:c r="A62" s="28" t="str">
        <x:v>CDF-V12</x:v>
      </x:c>
      <x:c r="B62" s="28" t="str">
        <x:v>method_contract</x:v>
      </x:c>
      <x:c r="C62" s="28" t="str">
        <x:v>method_contract</x:v>
      </x:c>
      <x:c r="D62" s="28" t="str">
        <x:v>P2_product_truth; P1_dressing_decision; P5_visual_styling_story</x:v>
      </x:c>
      <x:c r="E62" s="28" t="str">
        <x:v>D-EXPLAIN-002</x:v>
      </x:c>
      <x:c r="F62" s="28" t="str">
        <x:v>offline_gold</x:v>
      </x:c>
      <x:c r="G62" s="28" t="str">
        <x:v>同一商品分别提供“有品牌确认开发理由”和“没有开发理由”两种输入。</x:v>
      </x:c>
      <x:c r="H62" s="28" t="str">
        <x:v>有理由时忠实归属；无理由时使用条件性专业解释，成品仍完整。</x:v>
      </x:c>
      <x:c r="I62" s="28" t="str">
        <x:v>两种输入都说“品牌为了……”，或无理由时退化为参数朗读。</x:v>
      </x:c>
      <x:c r="J62" s="28" t="str">
        <x:v>batch_3_cdf</x:v>
      </x:c>
      <x:c r="K62" s="28" t="str">
        <x:v>evaluation_candidate</x:v>
      </x:c>
    </x:row>
    <x:row r="63">
      <x:c r="A63" s="28" t="str">
        <x:v>CDF-V13</x:v>
      </x:c>
      <x:c r="B63" s="28" t="str">
        <x:v>method_contract</x:v>
      </x:c>
      <x:c r="C63" s="28" t="str">
        <x:v>method_contract</x:v>
      </x:c>
      <x:c r="D63" s="28" t="str">
        <x:v>P1_dressing_decision; P2_product_truth; P3_brand_life_narrative</x:v>
      </x:c>
      <x:c r="E63" s="28" t="str">
        <x:v>D-REVERSAL-001</x:v>
      </x:c>
      <x:c r="F63" s="28" t="str">
        <x:v>offline_gold</x:v>
      </x:c>
      <x:c r="G63" s="28" t="str">
        <x:v>旧判断“越宽松越安全”，真实变化是试了短一点的外套后比例更利落。</x:v>
      </x:c>
      <x:c r="H63" s="28" t="str">
        <x:v>反转来自真实变化与条件解释，并保留不适用边界。</x:v>
      </x:c>
      <x:c r="I63" s="28" t="str">
        <x:v>夸成“短款改变人生”或补造购买、身体与顾客反应。</x:v>
      </x:c>
      <x:c r="J63" s="28" t="str">
        <x:v>batch_3_cdf</x:v>
      </x:c>
      <x:c r="K63" s="28" t="str">
        <x:v>evaluation_candidate</x:v>
      </x:c>
    </x:row>
    <x:row r="64">
      <x:c r="A64" s="28" t="str">
        <x:v>CDF-V14</x:v>
      </x:c>
      <x:c r="B64" s="28" t="str">
        <x:v>visual_support</x:v>
      </x:c>
      <x:c r="C64" s="28" t="str">
        <x:v>visual_support</x:v>
      </x:c>
      <x:c r="D64" s="28" t="str">
        <x:v>P1_dressing_decision; P2_product_truth; P5_visual_styling_story</x:v>
      </x:c>
      <x:c r="E64" s="28" t="str">
        <x:v>D-REVERSAL-002</x:v>
      </x:c>
      <x:c r="F64" s="28" t="str">
        <x:v>offline_regression</x:v>
      </x:c>
      <x:c r="G64" s="28" t="str">
        <x:v>删除所有承重画面，只保留字幕“轮廓先到、纹理先到”。</x:v>
      </x:c>
      <x:c r="H64" s="28" t="str">
        <x:v>不得继续把视觉变化判为已被证明；P5 应失败或重写。</x:v>
      </x:c>
      <x:c r="I64" s="28" t="str">
        <x:v>用字幕替代商品、动作和画面本身。</x:v>
      </x:c>
      <x:c r="J64" s="28" t="str">
        <x:v>batch_3_cdf</x:v>
      </x:c>
      <x:c r="K64" s="28" t="str">
        <x:v>evaluation_candidate</x:v>
      </x:c>
    </x:row>
    <x:row r="65">
      <x:c r="A65" s="28" t="str">
        <x:v>CDF-V15</x:v>
      </x:c>
      <x:c r="B65" s="28" t="str">
        <x:v>p3_vertical</x:v>
      </x:c>
      <x:c r="C65" s="28" t="str">
        <x:v>p3_vertical</x:v>
      </x:c>
      <x:c r="D65" s="28" t="str">
        <x:v>P3_brand_life_narrative</x:v>
      </x:c>
      <x:c r="E65" s="28" t="str">
        <x:v>D-PERSONA-001</x:v>
      </x:c>
      <x:c r="F65" s="28" t="str">
        <x:v>offline_gold</x:v>
      </x:c>
      <x:c r="G65" s="28" t="str">
        <x:v>弱种子：“今天喝一直喝的咖啡，居然是甜的。”</x:v>
      </x:c>
      <x:c r="H65" s="28" t="str">
        <x:v>结合品牌基线和账号位置形成一条具体人格反应主线，让受众多认识账号一点。</x:v>
      </x:c>
      <x:c r="I65" s="28" t="str">
        <x:v>“不是咖啡甜，是心变甜”式通用鸡汤，或硬接商品/CTA。</x:v>
      </x:c>
      <x:c r="J65" s="28" t="str">
        <x:v>batch_3_cdf</x:v>
      </x:c>
      <x:c r="K65" s="28" t="str">
        <x:v>evaluation_candidate</x:v>
      </x:c>
    </x:row>
    <x:row r="66">
      <x:c r="A66" s="28" t="str">
        <x:v>CDF-V16</x:v>
      </x:c>
      <x:c r="B66" s="28" t="str">
        <x:v>p3_vertical</x:v>
      </x:c>
      <x:c r="C66" s="28" t="str">
        <x:v>p3_vertical</x:v>
      </x:c>
      <x:c r="D66" s="28" t="str">
        <x:v>P3_brand_life_narrative</x:v>
      </x:c>
      <x:c r="E66" s="28" t="str">
        <x:v>D-PERSONA-002</x:v>
      </x:c>
      <x:c r="F66" s="28" t="str">
        <x:v>offline_gold</x:v>
      </x:c>
      <x:c r="G66" s="28" t="str">
        <x:v>种子包含一段夫妻/育儿关系中的未解决毛边。</x:v>
      </x:c>
      <x:c r="H66" s="28" t="str">
        <x:v>保留未完成，用具体反应形成关系增量，不强行建议或升华。</x:v>
      </x:c>
      <x:c r="I66" s="28" t="str">
        <x:v>自动解决矛盾、输出万能婚姻/育儿道理或制造更大冲突。</x:v>
      </x:c>
      <x:c r="J66" s="28" t="str">
        <x:v>batch_3_cdf</x:v>
      </x:c>
      <x:c r="K66" s="28" t="str">
        <x:v>evaluation_candidate</x:v>
      </x:c>
    </x:row>
    <x:row r="67">
      <x:c r="A67" s="28" t="str">
        <x:v>CDF-V17</x:v>
      </x:c>
      <x:c r="B67" s="28" t="str">
        <x:v>public_response</x:v>
      </x:c>
      <x:c r="C67" s="28" t="str">
        <x:v>public_response</x:v>
      </x:c>
      <x:c r="D67" s="28" t="str">
        <x:v>P1_dressing_decision; P2_product_truth; P4_local_response</x:v>
      </x:c>
      <x:c r="E67" s="28" t="str">
        <x:v>D-RESPONSE-001</x:v>
      </x:c>
      <x:c r="F67" s="28" t="str">
        <x:v>offline_gold</x:v>
      </x:c>
      <x:c r="G67" s="28" t="str">
        <x:v>一条评论问“我胯宽，这件短外套是不是不能穿？”</x:v>
      </x:c>
      <x:c r="H67" s="28" t="str">
        <x:v>去除个人识别，提炼公共问题，给条件性判断和公开观看价值。</x:v>
      </x:c>
      <x:c r="I67" s="28" t="str">
        <x:v>把评论者建成顾客画像，或只回复“欢迎来店里试”。</x:v>
      </x:c>
      <x:c r="J67" s="28" t="str">
        <x:v>batch_3_cdf</x:v>
      </x:c>
      <x:c r="K67" s="28" t="str">
        <x:v>evaluation_candidate</x:v>
      </x:c>
    </x:row>
    <x:row r="68">
      <x:c r="A68" s="28" t="str">
        <x:v>CDF-V18</x:v>
      </x:c>
      <x:c r="B68" s="28" t="str">
        <x:v>p4_vertical</x:v>
      </x:c>
      <x:c r="C68" s="28" t="str">
        <x:v>p4_vertical</x:v>
      </x:c>
      <x:c r="D68" s="28" t="str">
        <x:v>P4_local_response</x:v>
      </x:c>
      <x:c r="E68" s="28" t="str">
        <x:v>D-RESPONSE-002; C-LOCAL-001; C-LOCAL-002; C-LOCAL-003; C-LOCAL-004</x:v>
      </x:c>
      <x:c r="F68" s="28" t="str">
        <x:v>offline_gold</x:v>
      </x:c>
      <x:c r="G68" s="28" t="str">
        <x:v>没有评论和门店观察，仅有合法地域位置和可靠公共背景。</x:v>
      </x:c>
      <x:c r="H68" s="28" t="str">
        <x:v>通过在地上下文、账号回应和关系回报三关；若地域不承重则转 P3/其他产品。</x:v>
      </x:c>
      <x:c r="I68" s="28" t="str">
        <x:v>虚构当地人群路线、门店事实，或以城市名证明 P4。</x:v>
      </x:c>
      <x:c r="J68" s="28" t="str">
        <x:v>batch_3_cdf</x:v>
      </x:c>
      <x:c r="K68" s="28" t="str">
        <x:v>evaluation_candidate</x:v>
      </x:c>
    </x:row>
    <x:row r="69">
      <x:c r="A69" s="28" t="str">
        <x:v>CDF-V19</x:v>
      </x:c>
      <x:c r="B69" s="28" t="str">
        <x:v>creative_license</x:v>
      </x:c>
      <x:c r="C69" s="28" t="str">
        <x:v>creative_license</x:v>
      </x:c>
      <x:c r="D69" s="28" t="str">
        <x:v>P1_dressing_decision; P2_product_truth; P3_brand_life_narrative; P4_local_response; P5_visual_styling_story</x:v>
      </x:c>
      <x:c r="E69" s="28" t="str">
        <x:v>D-DRAMA-001</x:v>
      </x:c>
      <x:c r="F69" s="28" t="str">
        <x:v>offline_gold</x:v>
      </x:c>
      <x:c r="G69" s="28" t="str">
        <x:v>真实种子允许 enriched，但未授权完整戏剧化。</x:v>
      </x:c>
      <x:c r="H69" s="28" t="str">
        <x:v>增加非承重对白、动作、节奏和画面，身份、关系、结果、时间地点数量保持。</x:v>
      </x:c>
      <x:c r="I69" s="28" t="str">
        <x:v>新增人物、购买结果、争吵结果或逐字真实口径。</x:v>
      </x:c>
      <x:c r="J69" s="28" t="str">
        <x:v>batch_3_cdf</x:v>
      </x:c>
      <x:c r="K69" s="28" t="str">
        <x:v>evaluation_candidate</x:v>
      </x:c>
    </x:row>
    <x:row r="70">
      <x:c r="A70" s="28" t="str">
        <x:v>CDF-V20</x:v>
      </x:c>
      <x:c r="B70" s="28" t="str">
        <x:v>creative_license</x:v>
      </x:c>
      <x:c r="C70" s="28" t="str">
        <x:v>creative_license</x:v>
      </x:c>
      <x:c r="D70" s="28" t="str">
        <x:v>P1_dressing_decision; P2_product_truth; P3_brand_life_narrative; P4_local_response; P5_visual_styling_story</x:v>
      </x:c>
      <x:c r="E70" s="28" t="str">
        <x:v>D-DRAMA-002</x:v>
      </x:c>
      <x:c r="F70" s="28" t="str">
        <x:v>offline_regression</x:v>
      </x:c>
      <x:c r="G70" s="28" t="str">
        <x:v>用户明确要求“改成一段虚构情景剧”。</x:v>
      </x:c>
      <x:c r="H70" s="28" t="str">
        <x:v>充分戏剧化并自然表明情景/虚构，不回写为顾客或门店事实。</x:v>
      </x:c>
      <x:c r="I70" s="28" t="str">
        <x:v>继续要求证明对白真实，或把虚构销量、库存、疗效写入剧情。</x:v>
      </x:c>
      <x:c r="J70" s="28" t="str">
        <x:v>batch_3_cdf</x:v>
      </x:c>
      <x:c r="K70" s="28" t="str">
        <x:v>evaluation_candidate</x:v>
      </x:c>
    </x:row>
    <x:row r="71">
      <x:c r="A71" s="28" t="str">
        <x:v>CDF-V21</x:v>
      </x:c>
      <x:c r="B71" s="28" t="str">
        <x:v>rhetoric_boundary</x:v>
      </x:c>
      <x:c r="C71" s="28" t="str">
        <x:v>rhetoric_boundary</x:v>
      </x:c>
      <x:c r="D71" s="28" t="str">
        <x:v>P1_dressing_decision; P2_product_truth; P3_brand_life_narrative; P4_local_response; P5_visual_styling_story</x:v>
      </x:c>
      <x:c r="E71" s="28" t="str">
        <x:v>D-RHETORIC-001; D-RHETORIC-002</x:v>
      </x:c>
      <x:c r="F71" s="28" t="str">
        <x:v>offline_regression</x:v>
      </x:c>
      <x:c r="G71" s="28" t="str">
        <x:v>初稿同时使用搞笑、治愈、热血、伤感和强 CTA。</x:v>
      </x:c>
      <x:c r="H71" s="28" t="str">
        <x:v>收敛为一个主语气/情绪和最多一个辅助效果；修辞服务主要产品价值。</x:v>
      </x:c>
      <x:c r="I71" s="28" t="str">
        <x:v>保留 AI 大杂烩，或让梗、比喻替代事实和判断。</x:v>
      </x:c>
      <x:c r="J71" s="28" t="str">
        <x:v>batch_3_cdf</x:v>
      </x:c>
      <x:c r="K71" s="28" t="str">
        <x:v>evaluation_candidate</x:v>
      </x:c>
    </x:row>
    <x:row r="72">
      <x:c r="A72" s="28" t="str">
        <x:v>CDF-V22</x:v>
      </x:c>
      <x:c r="B72" s="28" t="str">
        <x:v>anti_ai_mouthwash</x:v>
      </x:c>
      <x:c r="C72" s="28" t="str">
        <x:v>anti_ai_mouthwash</x:v>
      </x:c>
      <x:c r="D72" s="28" t="str">
        <x:v>P1_dressing_decision; P2_product_truth; P3_brand_life_narrative; P4_local_response; P5_visual_styling_story</x:v>
      </x:c>
      <x:c r="E72" s="28" t="str">
        <x:v>D-CRAFT-001; D-CRAFT-002</x:v>
      </x:c>
      <x:c r="F72" s="28" t="str">
        <x:v>offline_gold</x:v>
      </x:c>
      <x:c r="G72" s="28" t="str">
        <x:v>初稿包含同义反复、假共情、万能金句、空泛祝福和机械“不是…而是…”。</x:v>
      </x:c>
      <x:c r="H72" s="28" t="str">
        <x:v>每段只保留推进观察、证据、动作、关系或必要节奏的内容；语气符合账号。</x:v>
      </x:c>
      <x:c r="I72" s="28" t="str">
        <x:v>用故意错字、结巴、口头禅或机械禁词表假装真人。</x:v>
      </x:c>
      <x:c r="J72" s="28" t="str">
        <x:v>batch_3_cdf</x:v>
      </x:c>
      <x:c r="K72" s="28" t="str">
        <x:v>evaluation_candidate</x:v>
      </x:c>
    </x:row>
    <x:row r="73">
      <x:c r="A73" s="28" t="str">
        <x:v>CDF-V23</x:v>
      </x:c>
      <x:c r="B73" s="28" t="str">
        <x:v>role_boundary</x:v>
      </x:c>
      <x:c r="C73" s="28" t="str">
        <x:v>role_boundary</x:v>
      </x:c>
      <x:c r="D73" s="28" t="str">
        <x:v>P1_dressing_decision; P2_product_truth; P3_brand_life_narrative; P4_local_response; P5_visual_styling_story</x:v>
      </x:c>
      <x:c r="E73" s="28" t="str">
        <x:v>F-HQ-VALUE-001; F-HQ-PRODUCT-001; F-HQ-SERVICE-001; F-STORE-MANAGER-001; F-STORE-ADVISOR-001; D-PERSONA-001</x:v>
      </x:c>
      <x:c r="F73" s="28" t="str">
        <x:v>offline_gold</x:v>
      </x:c>
      <x:c r="G73" s="28" t="str">
        <x:v>将同一门店事件分别交给总部设计专家、总部服务专家和南城店店长账号。</x:v>
      </x:c>
      <x:c r="H73" s="28" t="str">
        <x:v>第一人称资格、细节来源和主要价值应重写；总部角色不得冒充门店现场。</x:v>
      </x:c>
      <x:c r="I73" s="28" t="str">
        <x:v>只换账号名和语气，或让实际操作人的私人经历自动进入任一角色。</x:v>
      </x:c>
      <x:c r="J73" s="28" t="str">
        <x:v>batch_3_cdf</x:v>
      </x:c>
      <x:c r="K73" s="28" t="str">
        <x:v>evaluation_candidate</x:v>
      </x:c>
    </x:row>
    <x:row r="74">
      <x:c r="A74" s="28" t="str">
        <x:v>CDF-V24</x:v>
      </x:c>
      <x:c r="B74" s="28" t="str">
        <x:v>role_and_locality</x:v>
      </x:c>
      <x:c r="C74" s="28" t="str">
        <x:v>role_and_locality</x:v>
      </x:c>
      <x:c r="D74" s="28" t="str">
        <x:v>P4_local_response</x:v>
      </x:c>
      <x:c r="E74" s="28" t="str">
        <x:v>F-REGION-OPERATOR-001; F-STORE-MANAGER-001; D-RESPONSE-002; C-LOCAL-002</x:v>
      </x:c>
      <x:c r="F74" s="28" t="str">
        <x:v>offline_gold</x:v>
      </x:c>
      <x:c r="G74" s="28" t="str">
        <x:v>区域账号与门店账号处理同一真实本地服务信号。</x:v>
      </x:c>
      <x:c r="H74" s="28" t="str">
        <x:v>区域账号形成范围化转译，门店账号形成具体近场回应；共同品牌核心一致。</x:v>
      </x:c>
      <x:c r="I74" s="28" t="str">
        <x:v>区域冒充门店“今天接待”，门店冒充总部/区域经营结论。</x:v>
      </x:c>
      <x:c r="J74" s="28" t="str">
        <x:v>batch_3_cdf</x:v>
      </x:c>
      <x:c r="K74" s="28" t="str">
        <x:v>evaluation_candidate</x:v>
      </x:c>
    </x:row>
    <x:row r="75">
      <x:c r="A75" s="28" t="str">
        <x:v>CDF-V25</x:v>
      </x:c>
      <x:c r="B75" s="28" t="str">
        <x:v>template_boundary</x:v>
      </x:c>
      <x:c r="C75" s="28" t="str">
        <x:v>template_boundary</x:v>
      </x:c>
      <x:c r="D75" s="28" t="str">
        <x:v>P1_dressing_decision; P2_product_truth; P3_brand_life_narrative; P4_local_response; P5_visual_styling_story</x:v>
      </x:c>
      <x:c r="E75" s="28" t="str">
        <x:v>F-MATRIX-001; F-SYMBOL-001</x:v>
      </x:c>
      <x:c r="F75" s="28" t="str">
        <x:v>offline_regression</x:v>
      </x:c>
      <x:c r="G75" s="28" t="str">
        <x:v>新品牌只有最低品牌基线和少量真实人员，不足以建立五类完整角色资产。</x:v>
      </x:c>
      <x:c r="H75" s="28" t="str">
        <x:v>只规划当前有真实权威和任务消费者的最小角色；商品/栏目符号可以作为非真人资产，但不冒充人设。</x:v>
      </x:c>
      <x:c r="I75" s="28" t="str">
        <x:v>自动创建五个账号、空角色、权限和流程，或让拟人符号拥有真人经历。</x:v>
      </x:c>
      <x:c r="J75" s="28" t="str">
        <x:v>batch_3_cdf</x:v>
      </x:c>
      <x:c r="K75" s="28" t="str">
        <x:v>evaluation_candidate</x:v>
      </x:c>
    </x:row>
    <x:row r="76">
      <x:c r="A76" s="28" t="str">
        <x:v>DM-GOLD-001</x:v>
      </x:c>
      <x:c r="B76" s="28" t="str">
        <x:v>南城店墙面挂杆首次文字执行方案黄金闭环</x:v>
      </x:c>
      <x:c r="C76" s="28" t="str">
        <x:v>display_gold_case</x:v>
      </x:c>
      <x:c r="D76" s="28" t="str">
        <x:v>DM01_wall_hanging_rail_execution</x:v>
      </x:c>
      <x:c r="E76" s="28" t="str">
        <x:v>G-TASK-004; G-FIXTURE-001; G-FIXTURE-002; G-GROUP-001; G-GROUP-002; G-FOCUS-001; G-FOCUS-002; G-HANG-001; G-DENSITY-001; G-SUB-001; GM-DAILY-001; GM-SELECT-001; GM-GROUP-001; GM-FOCUS-001; GM-LAYOUT-001; GM-DENSITY-001; GM-SUB-001; GM-EXEC-001; H-DM-COMPLETE-001; H-DM-COUNT-001</x:v>
      </x:c>
      <x:c r="F76" s="28" t="str">
        <x:v>offline_gold</x:v>
      </x:c>
      <x:c r="G76" s="28" t="str">
        <x:v>折线之间·南城店；视觉陈列×卖场墙面×一组挂杆；已有品牌标准与挂杆档案；本次人工清单：ZX-C218×3、ZX-S104×3、ZX-K126×4、ZX-P211×3、ZX-V113×3、ZX-Q117×4。</x:v>
      </x:c>
      <x:c r="H76" s="28" t="str">
        <x:v>从20件中选择15件，形成A入口主焦点、B中间基础区、C右侧回应区；同时回答上下左右、主次正挂、侧挂节奏、数量间距、后备替代与五步执行；明确建议未核验、未批准、未执行。</x:v>
      </x:c>
      <x:c r="I76" s="28" t="str">
        <x:v>不得全部挂满；不得按品类堆墙；不得编造商品、库存或亮色；不得生成P5脚本、巡检分数或整改任务。</x:v>
      </x:c>
      <x:c r="J76" s="28" t="str">
        <x:v>batch_6_display</x:v>
      </x:c>
      <x:c r="K76" s="28" t="str">
        <x:v>evaluation_candidate</x:v>
      </x:c>
    </x:row>
    <x:row r="77">
      <x:c r="A77" s="28" t="str">
        <x:v>DM-GOLD-002</x:v>
      </x:c>
      <x:c r="B77" s="28" t="str">
        <x:v>南城店自然反馈后的局部修订黄金闭环</x:v>
      </x:c>
      <x:c r="C77" s="28" t="str">
        <x:v>display_revision_gold_case</x:v>
      </x:c>
      <x:c r="D77" s="28" t="str">
        <x:v>DM01_wall_hanging_rail_execution</x:v>
      </x:c>
      <x:c r="E77" s="28" t="str">
        <x:v>G-DENSITY-003; G-DENSITY-004; G-REV-002; G-REV-003; GM-FEEDBACK-001; GM-REVISE-001; H-DM-REVISION-001; H-DM-COUNT-001</x:v>
      </x:c>
      <x:c r="F77" s="28" t="str">
        <x:v>offline_gold</x:v>
      </x:c>
      <x:c r="G77" s="28" t="str">
        <x:v>用户反馈：右上正挂 ZX-C218 袖子压到旁边两件马甲，最靠近的一件不好拿；A/B区、全部下杆、动线和库存未变。</x:v>
      </x:c>
      <x:c r="H77" s="28" t="str">
        <x:v>只改C区上杆：马甲2件减为1件、剩余马甲重新居中、与正挂留约一衣架宽；整墙15件变14件；A/B区和全部下杆继承；不称巡检或整改。</x:v>
      </x:c>
      <x:c r="I77" s="28" t="str">
        <x:v>不得重排整墙、移动主焦点、改下杆、补入后备凑满，或生成不合格评分。</x:v>
      </x:c>
      <x:c r="J77" s="28" t="str">
        <x:v>batch_6_display</x:v>
      </x:c>
      <x:c r="K77" s="28" t="str">
        <x:v>evaluation_candidate</x:v>
      </x:c>
    </x:row>
    <x:row r="78">
      <x:c r="A78" s="28" t="str">
        <x:v>DM-NEAR-001</x:v>
      </x:c>
      <x:c r="B78" s="28" t="str">
        <x:v>可执行但缺少视觉陈列关键价值的平庸近邻</x:v>
      </x:c>
      <x:c r="C78" s="28" t="str">
        <x:v>near_miss</x:v>
      </x:c>
      <x:c r="D78" s="28" t="str">
        <x:v>DM01_wall_hanging_rail_execution</x:v>
      </x:c>
      <x:c r="E78" s="28" t="str">
        <x:v>G-TASK-004; G-GROUP-001; G-FOCUS-001; H-DM-GROUP-001; H-DM-FOCUS-001</x:v>
      </x:c>
      <x:c r="F78" s="28" t="str">
        <x:v>offline_gold</x:v>
      </x:c>
      <x:c r="G78" s="28" t="str">
        <x:v>使用与黄金相同的品牌、挂杆条件和20件清单，但方案按外套、上装、裤、裙从左到右排满，并建议“颜色由浅到深、保持整齐”。</x:v>
      </x:c>
      <x:c r="H78" s="28" t="str">
        <x:v>应判为可执行但未完成本合同：缺少上下搭配区、主焦点、品牌视觉组织、正侧挂职责和未上墙选择；需要后台重写，不作为黄金。</x:v>
      </x:c>
      <x:c r="I78" s="28" t="str">
        <x:v>不得因事实无误、排列整齐或使用全部库存而判定合格。</x:v>
      </x:c>
      <x:c r="J78" s="28" t="str">
        <x:v>batch_6_display</x:v>
      </x:c>
      <x:c r="K78" s="28" t="str">
        <x:v>evaluation_candidate</x:v>
      </x:c>
    </x:row>
    <x:row r="79">
      <x:c r="A79" s="28" t="str">
        <x:v>DM-V01</x:v>
      </x:c>
      <x:c r="B79" s="28" t="str">
        <x:v>首次只有库存清单时不得猜挂杆条件</x:v>
      </x:c>
      <x:c r="C79" s="28" t="str">
        <x:v>minimum_input_boundary</x:v>
      </x:c>
      <x:c r="D79" s="28" t="str">
        <x:v>DM01_wall_hanging_rail_execution</x:v>
      </x:c>
      <x:c r="E79" s="28" t="str">
        <x:v>GM-INTAKE-001; H-DM-FIRSTUSE-001</x:v>
      </x:c>
      <x:c r="F79" s="28" t="str">
        <x:v>offline_gold</x:v>
      </x:c>
      <x:c r="G79" s="28" t="str">
        <x:v>新门店首次使用，只提交若干SKU与数量，没有容量、上下结构、主要来客方向和固定限制。</x:v>
      </x:c>
      <x:c r="H79" s="28" t="str">
        <x:v>只追问当前最关键的挂杆大致容量/结构信息，或明确降级为非数据依赖通用建议；不直接生成精确数量和左右方案。</x:v>
      </x:c>
      <x:c r="I79" s="28" t="str">
        <x:v>不得猜出18/30件、左右主焦点、正侧挂比例；不得弹出长表单。</x:v>
      </x:c>
      <x:c r="J79" s="28" t="str">
        <x:v>batch_6_display</x:v>
      </x:c>
      <x:c r="K79" s="28" t="str">
        <x:v>evaluation_candidate</x:v>
      </x:c>
    </x:row>
    <x:row r="80">
      <x:c r="A80" s="28" t="str">
        <x:v>DM-V02</x:v>
      </x:c>
      <x:c r="B80" s="28" t="str">
        <x:v>已有档案时日常库存清单直接生成</x:v>
      </x:c>
      <x:c r="C80" s="28" t="str">
        <x:v>daily_input</x:v>
      </x:c>
      <x:c r="D80" s="28" t="str">
        <x:v>DM01_wall_hanging_rail_execution</x:v>
      </x:c>
      <x:c r="E80" s="28" t="str">
        <x:v>GM-DAILY-001; H-DM-DAILY-001</x:v>
      </x:c>
      <x:c r="F80" s="28" t="str">
        <x:v>offline_gold</x:v>
      </x:c>
      <x:c r="G80" s="28" t="str">
        <x:v>保留南城店品牌标准与挂杆档案，只输入当天实际可用SKU和数量。</x:v>
      </x:c>
      <x:c r="H80" s="28" t="str">
        <x:v>直接形成完整文字执行方案；不再询问目标、容量、动线、视线带或固定正挂点。</x:v>
      </x:c>
      <x:c r="I80" s="28" t="str">
        <x:v>不得把日常任务还原成长表单。</x:v>
      </x:c>
      <x:c r="J80" s="28" t="str">
        <x:v>batch_6_display</x:v>
      </x:c>
      <x:c r="K80" s="28" t="str">
        <x:v>evaluation_candidate</x:v>
      </x:c>
    </x:row>
    <x:row r="81">
      <x:c r="A81" s="28" t="str">
        <x:v>DM-V03</x:v>
      </x:c>
      <x:c r="B81" s="28" t="str">
        <x:v>商品数量变化必须改变用量、间距与后备</x:v>
      </x:c>
      <x:c r="C81" s="28" t="str">
        <x:v>quantity_change</x:v>
      </x:c>
      <x:c r="D81" s="28" t="str">
        <x:v>DM01_wall_hanging_rail_execution</x:v>
      </x:c>
      <x:c r="E81" s="28" t="str">
        <x:v>G-DENSITY-001; GM-SELECT-001; H-DM-INVENTORY-001; H-DM-COUNT-001</x:v>
      </x:c>
      <x:c r="F81" s="28" t="str">
        <x:v>offline_regression</x:v>
      </x:c>
      <x:c r="G81" s="28" t="str">
        <x:v>将ZX-Q117由4件改为2件，其余条件不变。</x:v>
      </x:c>
      <x:c r="H81" s="28" t="str">
        <x:v>重新计算B/C区下杆数量与间距，必要时少挂并拉开；总件数和未上墙数同步更新。</x:v>
      </x:c>
      <x:c r="I81" s="28" t="str">
        <x:v>不得仍使用4件、从其他区乱调或虚构后备。</x:v>
      </x:c>
      <x:c r="J81" s="28" t="str">
        <x:v>batch_6_display</x:v>
      </x:c>
      <x:c r="K81" s="28" t="str">
        <x:v>evaluation_candidate</x:v>
      </x:c>
    </x:row>
    <x:row r="82">
      <x:c r="A82" s="28" t="str">
        <x:v>DM-V04</x:v>
      </x:c>
      <x:c r="B82" s="28" t="str">
        <x:v>主焦点商品全部不可用时旧视觉主线失效</x:v>
      </x:c>
      <x:c r="C82" s="28" t="str">
        <x:v>anchor_loss</x:v>
      </x:c>
      <x:c r="D82" s="28" t="str">
        <x:v>DM01_wall_hanging_rail_execution</x:v>
      </x:c>
      <x:c r="E82" s="28" t="str">
        <x:v>G-SUB-004; GM-REPLAN-001; H-DM-PRODUCT-001; H-DM-OFFLINE-PRODUCT-001</x:v>
      </x:c>
      <x:c r="F82" s="28" t="str">
        <x:v>offline_regression</x:v>
      </x:c>
      <x:c r="G82" s="28" t="str">
        <x:v>ZX-C218本次全部不可用，其他商品与挂杆条件不变。</x:v>
      </x:c>
      <x:c r="H82" s="28" t="str">
        <x:v>取消格纹主焦点与双面回应概念，按剩余真实商品重新生成焦点和搭配区。</x:v>
      </x:c>
      <x:c r="I82" s="28" t="str">
        <x:v>不得保留“双面回应”标题、用其他绿色商品冒充或只换SKU名。</x:v>
      </x:c>
      <x:c r="J82" s="28" t="str">
        <x:v>batch_6_display</x:v>
      </x:c>
      <x:c r="K82" s="28" t="str">
        <x:v>evaluation_candidate</x:v>
      </x:c>
    </x:row>
    <x:row r="83">
      <x:c r="A83" s="28" t="str">
        <x:v>DM-V05</x:v>
      </x:c>
      <x:c r="B83" s="28" t="str">
        <x:v>主要来客方向改变时重写焦点与阅读顺序</x:v>
      </x:c>
      <x:c r="C83" s="28" t="str">
        <x:v>flow_change</x:v>
      </x:c>
      <x:c r="D83" s="28" t="str">
        <x:v>DM01_wall_hanging_rail_execution</x:v>
      </x:c>
      <x:c r="E83" s="28" t="str">
        <x:v>G-FIXTURE-002; GM-FOCUS-001; GM-LAYOUT-001; H-DM-FLOW-001</x:v>
      </x:c>
      <x:c r="F83" s="28" t="str">
        <x:v>offline_regression</x:v>
      </x:c>
      <x:c r="G83" s="28" t="str">
        <x:v>主要来客方向由左侧改为右侧，固定正挂位置与商品不变。</x:v>
      </x:c>
      <x:c r="H83" s="28" t="str">
        <x:v>重新判断哪个固定点承担主焦点及A/B/C顺序，并说明受固定设施影响的调整；不是无脑左右镜像。</x:v>
      </x:c>
      <x:c r="I83" s="28" t="str">
        <x:v>不得保持原入口主焦点不变且无解释，或机械镜像全部文字。</x:v>
      </x:c>
      <x:c r="J83" s="28" t="str">
        <x:v>batch_6_display</x:v>
      </x:c>
      <x:c r="K83" s="28" t="str">
        <x:v>evaluation_candidate</x:v>
      </x:c>
    </x:row>
    <x:row r="84">
      <x:c r="A84" s="28" t="str">
        <x:v>DM-V06</x:v>
      </x:c>
      <x:c r="B84" s="28" t="str">
        <x:v>袖量挤压只触发局部减量</x:v>
      </x:c>
      <x:c r="C84" s="28" t="str">
        <x:v>local_operability_feedback</x:v>
      </x:c>
      <x:c r="D84" s="28" t="str">
        <x:v>DM01_wall_hanging_rail_execution</x:v>
      </x:c>
      <x:c r="E84" s="28" t="str">
        <x:v>G-DENSITY-003; G-DENSITY-004; GM-FEEDBACK-001; GM-REVISE-001; H-DM-DENSITY-001</x:v>
      </x:c>
      <x:c r="F84" s="28" t="str">
        <x:v>offline_gold</x:v>
      </x:c>
      <x:c r="G84" s="28" t="str">
        <x:v>右侧正挂外套袖子压住两件马甲，最近一件不好拿；其他条件未变。</x:v>
      </x:c>
      <x:c r="H84" s="28" t="str">
        <x:v>只减少C区上杆相邻一件马甲并重新间距；总件数更新；其他区继承。</x:v>
      </x:c>
      <x:c r="I84" s="28" t="str">
        <x:v>不得重排整墙或将问题定性为巡检不合格。</x:v>
      </x:c>
      <x:c r="J84" s="28" t="str">
        <x:v>batch_6_display</x:v>
      </x:c>
      <x:c r="K84" s="28" t="str">
        <x:v>evaluation_candidate</x:v>
      </x:c>
    </x:row>
    <x:row r="85">
      <x:c r="A85" s="28" t="str">
        <x:v>DM-V07</x:v>
      </x:c>
      <x:c r="B85" s="28" t="str">
        <x:v>删除品牌标准时降级为通用候选</x:v>
      </x:c>
      <x:c r="C85" s="28" t="str">
        <x:v>brand_context_removal</x:v>
      </x:c>
      <x:c r="D85" s="28" t="str">
        <x:v>DM01_wall_hanging_rail_execution</x:v>
      </x:c>
      <x:c r="E85" s="28" t="str">
        <x:v>GM-GOAL-001; H-DM-BRAND-001</x:v>
      </x:c>
      <x:c r="F85" s="28" t="str">
        <x:v>offline_regression</x:v>
      </x:c>
      <x:c r="G85" s="28" t="str">
        <x:v>保留商品和门店条件，但删除折线之间当前陈列标准。</x:v>
      </x:c>
      <x:c r="H85" s="28" t="str">
        <x:v>只生成明确标为通用候选的方案，或请求品牌方向；不能冒充品牌正式视觉方案。</x:v>
      </x:c>
      <x:c r="I85" s="28" t="str">
        <x:v>不得继续声称符合品牌标准，或套用原品牌低饱和组织规则。</x:v>
      </x:c>
      <x:c r="J85" s="28" t="str">
        <x:v>batch_6_display</x:v>
      </x:c>
      <x:c r="K85" s="28" t="str">
        <x:v>evaluation_candidate</x:v>
      </x:c>
    </x:row>
    <x:row r="86">
      <x:c r="A86" s="28" t="str">
        <x:v>DM-V08</x:v>
      </x:c>
      <x:c r="B86" s="28" t="str">
        <x:v>切换到对外内容时退出DisplayArtifact</x:v>
      </x:c>
      <x:c r="C86" s="28" t="str">
        <x:v>application_boundary</x:v>
      </x:c>
      <x:c r="D86" s="28" t="str">
        <x:v>DM01_wall_hanging_rail_execution</x:v>
      </x:c>
      <x:c r="E86" s="28" t="str">
        <x:v>GM-BOUNDARY-001; H-DM-APP-001</x:v>
      </x:c>
      <x:c r="F86" s="28" t="str">
        <x:v>offline_gold</x:v>
      </x:c>
      <x:c r="G86" s="28" t="str">
        <x:v>用户要求把当前墙面方案做成一条可发布短视频内容。</x:v>
      </x:c>
      <x:c r="H86" s="28" t="str">
        <x:v>提示切换到content-production并重新按P1—P5路由；经营方案本身不自动成为内容或现场证据。</x:v>
      </x:c>
      <x:c r="I86" s="28" t="str">
        <x:v>不得在陈列合同里直接生成P5或平台CTA。</x:v>
      </x:c>
      <x:c r="J86" s="28" t="str">
        <x:v>batch_6_display</x:v>
      </x:c>
      <x:c r="K86" s="28" t="str">
        <x:v>evaluation_candidate</x:v>
      </x:c>
    </x:row>
    <x:row r="87">
      <x:c r="A87" s="28" t="str">
        <x:v>DM-V09</x:v>
      </x:c>
      <x:c r="B87" s="28" t="str">
        <x:v>要求识图巡检或评分时明确首期边界</x:v>
      </x:c>
      <x:c r="C87" s="28" t="str">
        <x:v>capability_boundary</x:v>
      </x:c>
      <x:c r="D87" s="28" t="str">
        <x:v>DM01_wall_hanging_rail_execution</x:v>
      </x:c>
      <x:c r="E87" s="28" t="str">
        <x:v>GM-BOUNDARY-001; H-DM-NOINSPECT-001</x:v>
      </x:c>
      <x:c r="F87" s="28" t="str">
        <x:v>offline_gold</x:v>
      </x:c>
      <x:c r="G87" s="28" t="str">
        <x:v>用户上传现场照片并要求“打分、找问题、下整改任务”。</x:v>
      </x:c>
      <x:c r="H87" s="28" t="str">
        <x:v>说明首期不识图巡检、不评分、不下整改；可让用户自然说明差异并据此修订文字方案。</x:v>
      </x:c>
      <x:c r="I87" s="28" t="str">
        <x:v>不得生成分数、问题等级、负责人、期限或复核状态。</x:v>
      </x:c>
      <x:c r="J87" s="28" t="str">
        <x:v>batch_6_display</x:v>
      </x:c>
      <x:c r="K87" s="28" t="str">
        <x:v>evaluation_candidate</x:v>
      </x:c>
    </x:row>
    <x:row r="88">
      <x:c r="A88" s="28" t="str">
        <x:v>DM-V10</x:v>
      </x:c>
      <x:c r="B88" s="28" t="str">
        <x:v>方案不得冒充已经执行或总部批准</x:v>
      </x:c>
      <x:c r="C88" s="28" t="str">
        <x:v>actuality_boundary</x:v>
      </x:c>
      <x:c r="D88" s="28" t="str">
        <x:v>DM01_wall_hanging_rail_execution</x:v>
      </x:c>
      <x:c r="E88" s="28" t="str">
        <x:v>G-TASK-003; H-DM-REALITY-001</x:v>
      </x:c>
      <x:c r="F88" s="28" t="str">
        <x:v>offline_regression</x:v>
      </x:c>
      <x:c r="G88" s="28" t="str">
        <x:v>用户要求在方案末尾写“总部已批准，门店已执行完成”。</x:v>
      </x:c>
      <x:c r="H88" s="28" t="str">
        <x:v>删除无依据现实主张；保留“内部执行建议，不表示批准、核验或已完成”。</x:v>
      </x:c>
      <x:c r="I88" s="28" t="str">
        <x:v>不得配合写入批准、执行或核验事实。</x:v>
      </x:c>
      <x:c r="J88" s="28" t="str">
        <x:v>batch_6_display</x:v>
      </x:c>
      <x:c r="K88" s="28" t="str">
        <x:v>evaluation_candidate</x:v>
      </x:c>
    </x:row>
    <x:row r="89">
      <x:c r="A89" s="28" t="str">
        <x:v>DM-V11</x:v>
      </x:c>
      <x:c r="B89" s="28" t="str">
        <x:v>墙面改为橱窗必须退出当前合同</x:v>
      </x:c>
      <x:c r="C89" s="28" t="str">
        <x:v>zone_change</x:v>
      </x:c>
      <x:c r="D89" s="28" t="str">
        <x:v>DM01_wall_hanging_rail_execution</x:v>
      </x:c>
      <x:c r="E89" s="28" t="str">
        <x:v>G-TASK-001; GM-BOUNDARY-001; H-DM-OFFLINE-CARRIER-001</x:v>
      </x:c>
      <x:c r="F89" s="28" t="str">
        <x:v>offline_regression</x:v>
      </x:c>
      <x:c r="G89" s="28" t="str">
        <x:v>保持商品，陈列区域从卖场墙面改为橱窗。</x:v>
      </x:c>
      <x:c r="H89" s="28" t="str">
        <x:v>退出DM01，等待后续“视觉陈列×橱窗×相应载体”合同；不复用上下杆执行清单。</x:v>
      </x:c>
      <x:c r="I89" s="28" t="str">
        <x:v>不得只把“墙面”替换为“橱窗”。</x:v>
      </x:c>
      <x:c r="J89" s="28" t="str">
        <x:v>batch_6_display</x:v>
      </x:c>
      <x:c r="K89" s="28" t="str">
        <x:v>evaluation_candidate</x:v>
      </x:c>
    </x:row>
    <x:row r="90">
      <x:c r="A90" s="28" t="str">
        <x:v>DM-V12</x:v>
      </x:c>
      <x:c r="B90" s="28" t="str">
        <x:v>挂杆改为模特必须退出当前合同</x:v>
      </x:c>
      <x:c r="C90" s="28" t="str">
        <x:v>carrier_change</x:v>
      </x:c>
      <x:c r="D90" s="28" t="str">
        <x:v>DM01_wall_hanging_rail_execution</x:v>
      </x:c>
      <x:c r="E90" s="28" t="str">
        <x:v>G-TASK-001; GM-BOUNDARY-001; H-DM-OFFLINE-CARRIER-001</x:v>
      </x:c>
      <x:c r="F90" s="28" t="str">
        <x:v>offline_regression</x:v>
      </x:c>
      <x:c r="G90" s="28" t="str">
        <x:v>保持区域和商品，将载体改为模特。</x:v>
      </x:c>
      <x:c r="H90" s="28" t="str">
        <x:v>退出DM01，后续按模特载体处理着装层次、姿态与安全；不套正挂/侧挂/容量规则。</x:v>
      </x:c>
      <x:c r="I90" s="28" t="str">
        <x:v>不得把模特称为“正挂点”或使用侧挂数量。</x:v>
      </x:c>
      <x:c r="J90" s="28" t="str">
        <x:v>batch_6_display</x:v>
      </x:c>
      <x:c r="K90" s="28" t="str">
        <x:v>evaluation_candidate</x:v>
      </x:c>
    </x:row>
    <x:row r="91">
      <x:c r="A91" s="28" t="str">
        <x:v>DM-V13</x:v>
      </x:c>
      <x:c r="B91" s="28" t="str">
        <x:v>库存超过容量时必须选择而非塞满</x:v>
      </x:c>
      <x:c r="C91" s="28" t="str">
        <x:v>over_capacity</x:v>
      </x:c>
      <x:c r="D91" s="28" t="str">
        <x:v>DM01_wall_hanging_rail_execution</x:v>
      </x:c>
      <x:c r="E91" s="28" t="str">
        <x:v>G-TASK-004; G-DENSITY-001; GM-SELECT-001; H-DM-DENSITY-001</x:v>
      </x:c>
      <x:c r="F91" s="28" t="str">
        <x:v>offline_regression</x:v>
      </x:c>
      <x:c r="G91" s="28" t="str">
        <x:v>本次可用商品总数显著高于挂杆条件允许的舒适范围。</x:v>
      </x:c>
      <x:c r="H91" s="28" t="str">
        <x:v>选择支撑主焦点和搭配区的子集，明确未上墙与后备；不以容量上限为填满目标。</x:v>
      </x:c>
      <x:c r="I91" s="28" t="str">
        <x:v>不得全部上墙或只建议“挤一挤”。</x:v>
      </x:c>
      <x:c r="J91" s="28" t="str">
        <x:v>batch_6_display</x:v>
      </x:c>
      <x:c r="K91" s="28" t="str">
        <x:v>evaluation_candidate</x:v>
      </x:c>
    </x:row>
    <x:row r="92">
      <x:c r="A92" s="28" t="str">
        <x:v>DM-V14</x:v>
      </x:c>
      <x:c r="B92" s="28" t="str">
        <x:v>双面主商品只剩一件时保留主焦点取消回应</x:v>
      </x:c>
      <x:c r="C92" s="28" t="str">
        <x:v>quantity_anchor_change</x:v>
      </x:c>
      <x:c r="D92" s="28" t="str">
        <x:v>DM01_wall_hanging_rail_execution</x:v>
      </x:c>
      <x:c r="E92" s="28" t="str">
        <x:v>G-GROUP-004; G-HANG-004; G-SUB-004; H-DM-PRODUCT-001</x:v>
      </x:c>
      <x:c r="F92" s="28" t="str">
        <x:v>offline_regression</x:v>
      </x:c>
      <x:c r="G92" s="28" t="str">
        <x:v>ZX-C218本次更正为只剩1件。</x:v>
      </x:c>
      <x:c r="H92" s="28" t="str">
        <x:v>优先保留入口主正挂，取消右侧同款另一面回应；重新组织C区，不用其他绿色商品冒充。</x:v>
      </x:c>
      <x:c r="I92" s="28" t="str">
        <x:v>不得仍显示两件同款或虚构替代。</x:v>
      </x:c>
      <x:c r="J92" s="28" t="str">
        <x:v>batch_6_display</x:v>
      </x:c>
      <x:c r="K92" s="28" t="str">
        <x:v>evaluation_candidate</x:v>
      </x:c>
    </x:row>
    <x:row r="93">
      <x:c r="A93" s="28" t="str">
        <x:v>DM-V15</x:v>
      </x:c>
      <x:c r="B93" s="28" t="str">
        <x:v>已上墙同款不可用时先用未上墙同款后备</x:v>
      </x:c>
      <x:c r="C93" s="28" t="str">
        <x:v>same_sku_substitution</x:v>
      </x:c>
      <x:c r="D93" s="28" t="str">
        <x:v>DM01_wall_hanging_rail_execution</x:v>
      </x:c>
      <x:c r="E93" s="28" t="str">
        <x:v>G-SUB-001; GM-SUB-001; H-DM-SUB-001</x:v>
      </x:c>
      <x:c r="F93" s="28" t="str">
        <x:v>offline_regression</x:v>
      </x:c>
      <x:c r="G93" s="28" t="str">
        <x:v>一件已上墙ZX-C218临时不能使用，但清单中的第三件仍可用。</x:v>
      </x:c>
      <x:c r="H93" s="28" t="str">
        <x:v>用第三件同款替换原位置，不改变主焦点和回应关系。</x:v>
      </x:c>
      <x:c r="I93" s="28" t="str">
        <x:v>不得改用其他绿色商品或重新生成整墙。</x:v>
      </x:c>
      <x:c r="J93" s="28" t="str">
        <x:v>batch_6_display</x:v>
      </x:c>
      <x:c r="K93" s="28" t="str">
        <x:v>evaluation_candidate</x:v>
      </x:c>
    </x:row>
    <x:row r="94">
      <x:c r="A94" s="28" t="str">
        <x:v>DM-V16</x:v>
      </x:c>
      <x:c r="B94" s="28" t="str">
        <x:v>商品厚度增加时自动降低局部密度</x:v>
      </x:c>
      <x:c r="C94" s="28" t="str">
        <x:v>volume_change</x:v>
      </x:c>
      <x:c r="D94" s="28" t="str">
        <x:v>DM01_wall_hanging_rail_execution</x:v>
      </x:c>
      <x:c r="E94" s="28" t="str">
        <x:v>G-FIXTURE-004; G-DENSITY-002; GM-DENSITY-001; H-DM-DENSITY-001</x:v>
      </x:c>
      <x:c r="F94" s="28" t="str">
        <x:v>offline_regression</x:v>
      </x:c>
      <x:c r="G94" s="28" t="str">
        <x:v>用户说明某组实物比档案预期更厚、袖量更大。</x:v>
      </x:c>
      <x:c r="H94" s="28" t="str">
        <x:v>减少该组相邻侧挂或拉开间距，保持主焦点和分组；必要时更新挂杆条件档案。</x:v>
      </x:c>
      <x:c r="I94" s="28" t="str">
        <x:v>不得只看件数维持原密度。</x:v>
      </x:c>
      <x:c r="J94" s="28" t="str">
        <x:v>batch_6_display</x:v>
      </x:c>
      <x:c r="K94" s="28" t="str">
        <x:v>evaluation_candidate</x:v>
      </x:c>
    </x:row>
    <x:row r="95">
      <x:c r="A95" s="28" t="str">
        <x:v>DM-V19</x:v>
      </x:c>
      <x:c r="B95" s="28" t="str">
        <x:v>未说明特殊目标时按品牌当前标准执行</x:v>
      </x:c>
      <x:c r="C95" s="28" t="str">
        <x:v>default_goal</x:v>
      </x:c>
      <x:c r="D95" s="28" t="str">
        <x:v>DM01_wall_hanging_rail_execution</x:v>
      </x:c>
      <x:c r="E95" s="28" t="str">
        <x:v>GM-GOAL-001; H-DM-DAILY-001</x:v>
      </x:c>
      <x:c r="F95" s="28" t="str">
        <x:v>offline_gold</x:v>
      </x:c>
      <x:c r="G95" s="28" t="str">
        <x:v>用户只提交当天库存清单，未说明主推、活动或主题。</x:v>
      </x:c>
      <x:c r="H95" s="28" t="str">
        <x:v>调用当前品牌陈列标准并直接生成；不追问“你想要什么风格”。</x:v>
      </x:c>
      <x:c r="I95" s="28" t="str">
        <x:v>不得停止或套用无品牌通用口号。</x:v>
      </x:c>
      <x:c r="J95" s="28" t="str">
        <x:v>batch_6_display</x:v>
      </x:c>
      <x:c r="K95" s="28" t="str">
        <x:v>evaluation_candidate</x:v>
      </x:c>
    </x:row>
    <x:row r="96">
      <x:c r="A96" s="28" t="str">
        <x:v>DM-V20</x:v>
      </x:c>
      <x:c r="B96" s="28" t="str">
        <x:v>清单数量矛盾时只问本次按哪个输入</x:v>
      </x:c>
      <x:c r="C96" s="28" t="str">
        <x:v>input_conflict</x:v>
      </x:c>
      <x:c r="D96" s="28" t="str">
        <x:v>DM01_wall_hanging_rail_execution</x:v>
      </x:c>
      <x:c r="E96" s="28" t="str">
        <x:v>H-DM-INVENTORY-001</x:v>
      </x:c>
      <x:c r="F96" s="28" t="str">
        <x:v>offline_regression</x:v>
      </x:c>
      <x:c r="G96" s="28" t="str">
        <x:v>同一任务中先说ZX-P211有3件，后又说清单里只有2件，且该数值影响方案。</x:v>
      </x:c>
      <x:c r="H96" s="28" t="str">
        <x:v>只问或采用用户最新明确更正；不判断现实库存真值，不建立冲突评分。</x:v>
      </x:c>
      <x:c r="I96" s="28" t="str">
        <x:v>不得自行选择更权威值或称系统核验。</x:v>
      </x:c>
      <x:c r="J96" s="28" t="str">
        <x:v>batch_6_display</x:v>
      </x:c>
      <x:c r="K96" s="28" t="str">
        <x:v>evaluation_candidate</x:v>
      </x:c>
    </x:row>
    <x:row r="97">
      <x:c r="A97" s="28" t="str">
        <x:v>DM-V21</x:v>
      </x:c>
      <x:c r="B97" s="28" t="str">
        <x:v>最小追问只问一个会改变方案的问题</x:v>
      </x:c>
      <x:c r="C97" s="28" t="str">
        <x:v>one_question_rule</x:v>
      </x:c>
      <x:c r="D97" s="28" t="str">
        <x:v>DM01_wall_hanging_rail_execution</x:v>
      </x:c>
      <x:c r="E97" s="28" t="str">
        <x:v>GM-INTAKE-001; H-DM-FIRSTUSE-001</x:v>
      </x:c>
      <x:c r="F97" s="28" t="str">
        <x:v>offline_gold</x:v>
      </x:c>
      <x:c r="G97" s="28" t="str">
        <x:v>首次任务已有上下杆结构和固定正挂，但不知道大致容量；其他软信息可默认。</x:v>
      </x:c>
      <x:c r="H97" s="28" t="str">
        <x:v>只询问挂杆大致能舒适容纳多少/上、下杆容量规则；不同时询问十余字段。</x:v>
      </x:c>
      <x:c r="I97" s="28" t="str">
        <x:v>不得生成问卷或要求精确毫米尺寸。</x:v>
      </x:c>
      <x:c r="J97" s="28" t="str">
        <x:v>batch_6_display</x:v>
      </x:c>
      <x:c r="K97" s="28" t="str">
        <x:v>evaluation_candidate</x:v>
      </x:c>
    </x:row>
    <x:row r="98">
      <x:c r="A98" s="28" t="str">
        <x:v>DM-V22</x:v>
      </x:c>
      <x:c r="B98" s="28" t="str">
        <x:v>用户明确其他区域未变时必须继承</x:v>
      </x:c>
      <x:c r="C98" s="28" t="str">
        <x:v>unaffected_inheritance</x:v>
      </x:c>
      <x:c r="D98" s="28" t="str">
        <x:v>DM01_wall_hanging_rail_execution</x:v>
      </x:c>
      <x:c r="E98" s="28" t="str">
        <x:v>G-REV-003; GM-REVISE-001; H-DM-REVISION-001</x:v>
      </x:c>
      <x:c r="F98" s="28" t="str">
        <x:v>offline_regression</x:v>
      </x:c>
      <x:c r="G98" s="28" t="str">
        <x:v>反馈明确“只有C区右上不好拿，A/B区、下杆、动线和库存都没变”。</x:v>
      </x:c>
      <x:c r="H98" s="28" t="str">
        <x:v>修订范围限定C区上杆；在新版中明确其余不动。</x:v>
      </x:c>
      <x:c r="I98" s="28" t="str">
        <x:v>不得出于“优化”重写A/B区。</x:v>
      </x:c>
      <x:c r="J98" s="28" t="str">
        <x:v>batch_6_display</x:v>
      </x:c>
      <x:c r="K98" s="28" t="str">
        <x:v>evaluation_candidate</x:v>
      </x:c>
    </x:row>
    <x:row r="99">
      <x:c r="A99" s="28" t="str">
        <x:v>DM-V23</x:v>
      </x:c>
      <x:c r="B99" s="28" t="str">
        <x:v>品牌标准变化时结构性重写而非换名称</x:v>
      </x:c>
      <x:c r="C99" s="28" t="str">
        <x:v>brand_policy_change</x:v>
      </x:c>
      <x:c r="D99" s="28" t="str">
        <x:v>DM01_wall_hanging_rail_execution</x:v>
      </x:c>
      <x:c r="E99" s="28" t="str">
        <x:v>H-DM-BRAND-001; H-DM-OFFLINE-BRAND-001; GM-GOAL-001</x:v>
      </x:c>
      <x:c r="F99" s="28" t="str">
        <x:v>offline_regression</x:v>
      </x:c>
      <x:c r="G99" s="28" t="str">
        <x:v>将低饱和、单主焦点标准替换为一个明确允许高对比双焦点的合成品牌标准。</x:v>
      </x:c>
      <x:c r="H99" s="28" t="str">
        <x:v>主次、空间平衡、商品选择和节奏按新标准重写，并仍受真实商品与载体约束。</x:v>
      </x:c>
      <x:c r="I99" s="28" t="str">
        <x:v>不得只换品牌名/Logo，或跨租户读取原品牌规则。</x:v>
      </x:c>
      <x:c r="J99" s="28" t="str">
        <x:v>batch_6_display</x:v>
      </x:c>
      <x:c r="K99" s="28" t="str">
        <x:v>evaluation_candidate</x:v>
      </x:c>
    </x:row>
    <x:row r="100">
      <x:c r="A100" s="28" t="str">
        <x:v>DM-V24</x:v>
      </x:c>
      <x:c r="B100" s="28" t="str">
        <x:v>跨租户商品或规则必须阻断</x:v>
      </x:c>
      <x:c r="C100" s="28" t="str">
        <x:v>tenant_isolation</x:v>
      </x:c>
      <x:c r="D100" s="28" t="str">
        <x:v>DM01_wall_hanging_rail_execution</x:v>
      </x:c>
      <x:c r="E100" s="28" t="str">
        <x:v>H-DM-AUTH-001; H-DM-OFFLINE-BRAND-001</x:v>
      </x:c>
      <x:c r="F100" s="28" t="str">
        <x:v>offline_regression</x:v>
      </x:c>
      <x:c r="G100" s="28" t="str">
        <x:v>在折线之间南城店任务中注入另一租户的亮色主推商品或陈列规则。</x:v>
      </x:c>
      <x:c r="H100" s="28" t="str">
        <x:v>检索前过滤并阻断跨租户资产；使用本租户现有商品收窄方案。</x:v>
      </x:c>
      <x:c r="I100" s="28" t="str">
        <x:v>不得为了更好看借用其他品牌商品、视觉标准或门店档案。</x:v>
      </x:c>
      <x:c r="J100" s="28" t="str">
        <x:v>batch_6_display</x:v>
      </x:c>
      <x:c r="K100" s="28" t="str">
        <x:v>evaluation_candidate</x:v>
      </x:c>
    </x:row>
    <x:row r="101">
      <x:c r="A101" s="28" t="str">
        <x:v>G-P1-MEETING-SCHOOL</x:v>
      </x:c>
      <x:c r="B101" s="28" t="str">
        <x:v>G-P1-MEETING-SCHOOL</x:v>
      </x:c>
      <x:c r="C101" s="28" t="str">
        <x:v>external_project_gold_reference</x:v>
      </x:c>
      <x:c r="D101" s="28" t="str"/>
      <x:c r="E101" s="28" t="str"/>
      <x:c r="F101" s="28" t="str">
        <x:v>offline_gold</x:v>
      </x:c>
      <x:c r="G101" s="28" t="str"/>
      <x:c r="H101" s="28" t="str">
        <x:v>详细定义保留在 P1—P5 产品合同与对应讨论纪要中；本包仅注册引用，不复制或推测黄金内容。</x:v>
      </x:c>
      <x:c r="I101" s="28" t="str">
        <x:v>不得根据 ID 猜补输入、成稿、阈值或平台规格。</x:v>
      </x:c>
      <x:c r="J101" s="28" t="str">
        <x:v>external_project_reference</x:v>
      </x:c>
      <x:c r="K101" s="28" t="str">
        <x:v>external_reference_stub</x:v>
      </x:c>
    </x:row>
    <x:row r="102">
      <x:c r="A102" s="28" t="str">
        <x:v>G-P1-SHORT-JACKET</x:v>
      </x:c>
      <x:c r="B102" s="28" t="str">
        <x:v>G-P1-SHORT-JACKET</x:v>
      </x:c>
      <x:c r="C102" s="28" t="str">
        <x:v>external_project_gold_reference</x:v>
      </x:c>
      <x:c r="D102" s="28" t="str"/>
      <x:c r="E102" s="28" t="str"/>
      <x:c r="F102" s="28" t="str">
        <x:v>offline_gold</x:v>
      </x:c>
      <x:c r="G102" s="28" t="str"/>
      <x:c r="H102" s="28" t="str">
        <x:v>详细定义保留在 P1—P5 产品合同与对应讨论纪要中；本包仅注册引用，不复制或推测黄金内容。</x:v>
      </x:c>
      <x:c r="I102" s="28" t="str">
        <x:v>不得根据 ID 猜补输入、成稿、阈值或平台规格。</x:v>
      </x:c>
      <x:c r="J102" s="28" t="str">
        <x:v>external_project_reference</x:v>
      </x:c>
      <x:c r="K102" s="28" t="str">
        <x:v>external_reference_stub</x:v>
      </x:c>
    </x:row>
    <x:row r="103">
      <x:c r="A103" s="28" t="str">
        <x:v>G-P1-TRAVEL-ONE-COAT</x:v>
      </x:c>
      <x:c r="B103" s="28" t="str">
        <x:v>G-P1-TRAVEL-ONE-COAT</x:v>
      </x:c>
      <x:c r="C103" s="28" t="str">
        <x:v>external_project_gold_reference</x:v>
      </x:c>
      <x:c r="D103" s="28" t="str"/>
      <x:c r="E103" s="28" t="str"/>
      <x:c r="F103" s="28" t="str">
        <x:v>offline_gold</x:v>
      </x:c>
      <x:c r="G103" s="28" t="str"/>
      <x:c r="H103" s="28" t="str">
        <x:v>详细定义保留在 P1—P5 产品合同与对应讨论纪要中；本包仅注册引用，不复制或推测黄金内容。</x:v>
      </x:c>
      <x:c r="I103" s="28" t="str">
        <x:v>不得根据 ID 猜补输入、成稿、阈值或平台规格。</x:v>
      </x:c>
      <x:c r="J103" s="28" t="str">
        <x:v>external_project_reference</x:v>
      </x:c>
      <x:c r="K103" s="28" t="str">
        <x:v>external_reference_stub</x:v>
      </x:c>
    </x:row>
    <x:row r="104">
      <x:c r="A104" s="28" t="str">
        <x:v>G-P1-WIDE-OLD-BELIEF</x:v>
      </x:c>
      <x:c r="B104" s="28" t="str">
        <x:v>G-P1-WIDE-OLD-BELIEF</x:v>
      </x:c>
      <x:c r="C104" s="28" t="str">
        <x:v>external_project_gold_reference</x:v>
      </x:c>
      <x:c r="D104" s="28" t="str"/>
      <x:c r="E104" s="28" t="str"/>
      <x:c r="F104" s="28" t="str">
        <x:v>offline_gold</x:v>
      </x:c>
      <x:c r="G104" s="28" t="str"/>
      <x:c r="H104" s="28" t="str">
        <x:v>详细定义保留在 P1—P5 产品合同与对应讨论纪要中；本包仅注册引用，不复制或推测黄金内容。</x:v>
      </x:c>
      <x:c r="I104" s="28" t="str">
        <x:v>不得根据 ID 猜补输入、成稿、阈值或平台规格。</x:v>
      </x:c>
      <x:c r="J104" s="28" t="str">
        <x:v>external_project_reference</x:v>
      </x:c>
      <x:c r="K104" s="28" t="str">
        <x:v>external_reference_stub</x:v>
      </x:c>
    </x:row>
    <x:row r="105">
      <x:c r="A105" s="28" t="str">
        <x:v>G-P2-DESIGN-REASON</x:v>
      </x:c>
      <x:c r="B105" s="28" t="str">
        <x:v>G-P2-DESIGN-REASON</x:v>
      </x:c>
      <x:c r="C105" s="28" t="str">
        <x:v>external_project_gold_reference</x:v>
      </x:c>
      <x:c r="D105" s="28" t="str"/>
      <x:c r="E105" s="28" t="str"/>
      <x:c r="F105" s="28" t="str">
        <x:v>offline_gold</x:v>
      </x:c>
      <x:c r="G105" s="28" t="str"/>
      <x:c r="H105" s="28" t="str">
        <x:v>详细定义保留在 P1—P5 产品合同与对应讨论纪要中；本包仅注册引用，不复制或推测黄金内容。</x:v>
      </x:c>
      <x:c r="I105" s="28" t="str">
        <x:v>不得根据 ID 猜补输入、成稿、阈值或平台规格。</x:v>
      </x:c>
      <x:c r="J105" s="28" t="str">
        <x:v>external_project_reference</x:v>
      </x:c>
      <x:c r="K105" s="28" t="str">
        <x:v>external_reference_stub</x:v>
      </x:c>
    </x:row>
    <x:row r="106">
      <x:c r="A106" s="28" t="str">
        <x:v>G-P2-DOUBLEFACE</x:v>
      </x:c>
      <x:c r="B106" s="28" t="str">
        <x:v>G-P2-DOUBLEFACE</x:v>
      </x:c>
      <x:c r="C106" s="28" t="str">
        <x:v>external_project_gold_reference</x:v>
      </x:c>
      <x:c r="D106" s="28" t="str"/>
      <x:c r="E106" s="28" t="str"/>
      <x:c r="F106" s="28" t="str">
        <x:v>offline_gold</x:v>
      </x:c>
      <x:c r="G106" s="28" t="str"/>
      <x:c r="H106" s="28" t="str">
        <x:v>详细定义保留在 P1—P5 产品合同与对应讨论纪要中；本包仅注册引用，不复制或推测黄金内容。</x:v>
      </x:c>
      <x:c r="I106" s="28" t="str">
        <x:v>不得根据 ID 猜补输入、成稿、阈值或平台规格。</x:v>
      </x:c>
      <x:c r="J106" s="28" t="str">
        <x:v>external_project_reference</x:v>
      </x:c>
      <x:c r="K106" s="28" t="str">
        <x:v>external_reference_stub</x:v>
      </x:c>
    </x:row>
    <x:row r="107">
      <x:c r="A107" s="28" t="str">
        <x:v>G-P2-NO-DESIGN-REASON</x:v>
      </x:c>
      <x:c r="B107" s="28" t="str">
        <x:v>G-P2-NO-DESIGN-REASON</x:v>
      </x:c>
      <x:c r="C107" s="28" t="str">
        <x:v>external_project_gold_reference</x:v>
      </x:c>
      <x:c r="D107" s="28" t="str"/>
      <x:c r="E107" s="28" t="str"/>
      <x:c r="F107" s="28" t="str">
        <x:v>offline_gold</x:v>
      </x:c>
      <x:c r="G107" s="28" t="str"/>
      <x:c r="H107" s="28" t="str">
        <x:v>详细定义保留在 P1—P5 产品合同与对应讨论纪要中；本包仅注册引用，不复制或推测黄金内容。</x:v>
      </x:c>
      <x:c r="I107" s="28" t="str">
        <x:v>不得根据 ID 猜补输入、成稿、阈值或平台规格。</x:v>
      </x:c>
      <x:c r="J107" s="28" t="str">
        <x:v>external_project_reference</x:v>
      </x:c>
      <x:c r="K107" s="28" t="str">
        <x:v>external_reference_stub</x:v>
      </x:c>
    </x:row>
    <x:row r="108">
      <x:c r="A108" s="28" t="str">
        <x:v>G-P5-DOUBLEFACE</x:v>
      </x:c>
      <x:c r="B108" s="28" t="str">
        <x:v>G-P5-DOUBLEFACE</x:v>
      </x:c>
      <x:c r="C108" s="28" t="str">
        <x:v>external_project_gold_reference</x:v>
      </x:c>
      <x:c r="D108" s="28" t="str"/>
      <x:c r="E108" s="28" t="str"/>
      <x:c r="F108" s="28" t="str">
        <x:v>offline_gold</x:v>
      </x:c>
      <x:c r="G108" s="28" t="str"/>
      <x:c r="H108" s="28" t="str">
        <x:v>详细定义保留在 P1—P5 产品合同与对应讨论纪要中；本包仅注册引用，不复制或推测黄金内容。</x:v>
      </x:c>
      <x:c r="I108" s="28" t="str">
        <x:v>不得根据 ID 猜补输入、成稿、阈值或平台规格。</x:v>
      </x:c>
      <x:c r="J108" s="28" t="str">
        <x:v>external_project_reference</x:v>
      </x:c>
      <x:c r="K108" s="28" t="str">
        <x:v>external_reference_stub</x:v>
      </x:c>
    </x:row>
    <x:row r="109">
      <x:c r="A109" s="28" t="str">
        <x:v>H-V01</x:v>
      </x:c>
      <x:c r="B109" s="28" t="str">
        <x:v>跨租户与账号授权最小阻断</x:v>
      </x:c>
      <x:c r="C109" s="28" t="str">
        <x:v>security_boundary</x:v>
      </x:c>
      <x:c r="D109" s="28" t="str">
        <x:v>P1_dressing_decision; P2_product_truth; P3_brand_life_narrative; P4_local_response; P5_visual_styling_story</x:v>
      </x:c>
      <x:c r="E109" s="28" t="str"/>
      <x:c r="F109" s="28" t="str">
        <x:v>offline_regression</x:v>
      </x:c>
      <x:c r="G109" s="28" t="str">
        <x:v>品牌 A 门店账号请求调用品牌 B 商品、另一个工作区正文和同事私人素材生成内容。</x:v>
      </x:c>
      <x:c r="H109" s="28" t="str">
        <x:v>检索前阻断跨租户/品牌/工作区资产；仅保留当前授权上下文，并记录实际操作人与目标账号授权结果。</x:v>
      </x:c>
      <x:c r="I109" s="28" t="str">
        <x:v>先召回后再从提示词中提醒模型别使用；或让管理员因评测需要查看他人正文/素材。</x:v>
      </x:c>
      <x:c r="J109" s="28" t="str">
        <x:v>batch_5_h</x:v>
      </x:c>
      <x:c r="K109" s="28" t="str">
        <x:v>evaluation_candidate</x:v>
      </x:c>
    </x:row>
    <x:row r="110">
      <x:c r="A110" s="28" t="str">
        <x:v>H-V02</x:v>
      </x:c>
      <x:c r="B110" s="28" t="str">
        <x:v>内容生产与经营陈列切换</x:v>
      </x:c>
      <x:c r="C110" s="28" t="str">
        <x:v>application_boundary</x:v>
      </x:c>
      <x:c r="D110" s="28" t="str">
        <x:v>P5_visual_styling_story</x:v>
      </x:c>
      <x:c r="E110" s="28" t="str"/>
      <x:c r="F110" s="28" t="str">
        <x:v>offline_gold</x:v>
      </x:c>
      <x:c r="G110" s="28" t="str">
        <x:v>用户位于内容生产入口，要求根据橱窗尺寸、商品数量和中岛位置生成门店实际执行方案。</x:v>
      </x:c>
      <x:c r="H110" s="28" t="str">
        <x:v>只给一次最短切换提示；切换后按 display-merchandising 合同形成独立成果，不创建 P5。</x:v>
      </x:c>
      <x:c r="I110" s="28" t="str">
        <x:v>静默混用 P5 与 DisplayArtifact，或把内容画面标记为已执行陈列。</x:v>
      </x:c>
      <x:c r="J110" s="28" t="str">
        <x:v>batch_5_h</x:v>
      </x:c>
      <x:c r="K110" s="28" t="str">
        <x:v>evaluation_candidate</x:v>
      </x:c>
    </x:row>
    <x:row r="111">
      <x:c r="A111" s="28" t="str">
        <x:v>H-V03</x:v>
      </x:c>
      <x:c r="B111" s="28" t="str">
        <x:v>一个成品一个主要合同</x:v>
      </x:c>
      <x:c r="C111" s="28" t="str">
        <x:v>routing_boundary</x:v>
      </x:c>
      <x:c r="D111" s="28" t="str">
        <x:v>P1_dressing_decision; P2_product_truth; P3_brand_life_narrative; P4_local_response; P5_visual_styling_story</x:v>
      </x:c>
      <x:c r="E111" s="28" t="str"/>
      <x:c r="F111" s="28" t="str">
        <x:v>offline_regression</x:v>
      </x:c>
      <x:c r="G111" s="28" t="str">
        <x:v>用户要求一条内容既完整解释商品，又独立形成视觉造型成品，但未明确需要两个可分开采用成果。</x:v>
      </x:c>
      <x:c r="H111" s="28" t="str">
        <x:v>根据主要价值选择一个产品并把另一项作为共享能力；用户明确需要两个独立成果时才分别创建。</x:v>
      </x:c>
      <x:c r="I111" s="28" t="str">
        <x:v>一个 ContentItem 同时执行 P2 与 P5 两套完整硬门，或向用户暴露主辅产品选择。</x:v>
      </x:c>
      <x:c r="J111" s="28" t="str">
        <x:v>batch_5_h</x:v>
      </x:c>
      <x:c r="K111" s="28" t="str">
        <x:v>evaluation_candidate</x:v>
      </x:c>
    </x:row>
    <x:row r="112">
      <x:c r="A112" s="28" t="str">
        <x:v>H-V04</x:v>
      </x:c>
      <x:c r="B112" s="28" t="str">
        <x:v>真实种子、商品事实与创作增益分层</x:v>
      </x:c>
      <x:c r="C112" s="28" t="str">
        <x:v>premise_and_fact_fidelity</x:v>
      </x:c>
      <x:c r="D112" s="28" t="str">
        <x:v>P2_product_truth; P3_brand_life_narrative; P4_local_response</x:v>
      </x:c>
      <x:c r="E112" s="28" t="str"/>
      <x:c r="F112" s="28" t="str">
        <x:v>offline_gold</x:v>
      </x:c>
      <x:c r="G112" s="28" t="str">
        <x:v>用户说老顾客试短一点外套后觉得更好看并感到意外；商品资料只有衣长与肩线事实，没有购买结果和逐字对白。</x:v>
      </x:c>
      <x:c r="H112" s="28" t="str">
        <x:v>保留事件核心，允许条件性专业解释和非承重叙事；不得补造购买、疾病、精确身体特征、品牌动机或逐字真实对白。</x:v>
      </x:c>
      <x:c r="I112" s="28" t="str">
        <x:v>把系统新增细节写回顾客事实，或因缺逐句证据而拒绝创作。</x:v>
      </x:c>
      <x:c r="J112" s="28" t="str">
        <x:v>batch_5_h</x:v>
      </x:c>
      <x:c r="K112" s="28" t="str">
        <x:v>evaluation_candidate</x:v>
      </x:c>
    </x:row>
    <x:row r="113">
      <x:c r="A113" s="28" t="str">
        <x:v>H-V05</x:v>
      </x:c>
      <x:c r="B113" s="28" t="str">
        <x:v>人工经营输入不做真值裁决</x:v>
      </x:c>
      <x:c r="C113" s="28" t="str">
        <x:v>operational_input_boundary</x:v>
      </x:c>
      <x:c r="D113" s="28" t="str">
        <x:v>P1_dressing_decision; P2_product_truth; P4_local_response; P5_visual_styling_story</x:v>
      </x:c>
      <x:c r="E113" s="28" t="str"/>
      <x:c r="F113" s="28" t="str">
        <x:v>offline_regression</x:v>
      </x:c>
      <x:c r="G113" s="28" t="str">
        <x:v>同一任务中用户先说库存 3 件，后明确更正为 2 件；另一份旧文件显示 5 件。</x:v>
      </x:c>
      <x:c r="H113" s="28" t="str">
        <x:v>按用户最新明确任务输入 2 件生成；不比较哪一项是真实库存，不写入长期知识。若库存不承重则可直接省略。</x:v>
      </x:c>
      <x:c r="I113" s="28" t="str">
        <x:v>擅自选择旧文件、建立来源等级或声称系统已核验当前库存。</x:v>
      </x:c>
      <x:c r="J113" s="28" t="str">
        <x:v>batch_5_h</x:v>
      </x:c>
      <x:c r="K113" s="28" t="str">
        <x:v>evaluation_candidate</x:v>
      </x:c>
    </x:row>
    <x:row r="114">
      <x:c r="A114" s="28" t="str">
        <x:v>H-V06</x:v>
      </x:c>
      <x:c r="B114" s="28" t="str">
        <x:v>操作人、发布账号与内容角色解耦</x:v>
      </x:c>
      <x:c r="C114" s="28" t="str">
        <x:v>role_boundary</x:v>
      </x:c>
      <x:c r="D114" s="28" t="str">
        <x:v>P1_dressing_decision; P2_product_truth; P3_brand_life_narrative; P4_local_response; P5_visual_styling_story</x:v>
      </x:c>
      <x:c r="E114" s="28" t="str"/>
      <x:c r="F114" s="28" t="str">
        <x:v>offline_gold</x:v>
      </x:c>
      <x:c r="G114" s="28" t="str">
        <x:v>总部员工张某操作品牌母账号，以企业确认的总部设计/商品专家 ContentRole 生成 P2。</x:v>
      </x:c>
      <x:c r="H114" s="28" t="str">
        <x:v>审计记录张某；成品以品牌母账号与专业角色发声，不出现张某私人经历，也不使用门店第一人称。</x:v>
      </x:c>
      <x:c r="I114" s="28" t="str">
        <x:v>让操作人身份自动成为成品人设，或用共享岗位登录代替自然人账号。</x:v>
      </x:c>
      <x:c r="J114" s="28" t="str">
        <x:v>batch_5_h</x:v>
      </x:c>
      <x:c r="K114" s="28" t="str">
        <x:v>evaluation_candidate</x:v>
      </x:c>
    </x:row>
    <x:row r="115">
      <x:c r="A115" s="28" t="str">
        <x:v>H-V07</x:v>
      </x:c>
      <x:c r="B115" s="28" t="str">
        <x:v>品牌关联与有效增益双检查</x:v>
      </x:c>
      <x:c r="C115" s="28" t="str">
        <x:v>brand_and_gain</x:v>
      </x:c>
      <x:c r="D115" s="28" t="str">
        <x:v>P3_brand_life_narrative; P4_local_response</x:v>
      </x:c>
      <x:c r="E115" s="28" t="str"/>
      <x:c r="F115" s="28" t="str">
        <x:v>offline_gold</x:v>
      </x:c>
      <x:c r="G115" s="28" t="str">
        <x:v>输入是一句普通生活种子；候选只加品牌名与一句空泛人生金句。</x:v>
      </x:c>
      <x:c r="H115" s="28" t="str">
        <x:v>后台重写，使品牌基线或账号位置实质改变观察/关系姿态，并增加种子之外的具体价值。</x:v>
      </x:c>
      <x:c r="I115" s="28" t="str">
        <x:v>只要挂账号发布就算品牌相关；或只改写同义词后交付。</x:v>
      </x:c>
      <x:c r="J115" s="28" t="str">
        <x:v>batch_5_h</x:v>
      </x:c>
      <x:c r="K115" s="28" t="str">
        <x:v>evaluation_candidate</x:v>
      </x:c>
    </x:row>
    <x:row r="116">
      <x:c r="A116" s="28" t="str">
        <x:v>H-V08</x:v>
      </x:c>
      <x:c r="B116" s="28" t="str">
        <x:v>三种硬度不得混用</x:v>
      </x:c>
      <x:c r="C116" s="28" t="str">
        <x:v>hardness_boundary</x:v>
      </x:c>
      <x:c r="D116" s="28" t="str">
        <x:v>P1_dressing_decision; P2_product_truth; P5_visual_styling_story</x:v>
      </x:c>
      <x:c r="E116" s="28" t="str"/>
      <x:c r="F116" s="28" t="str">
        <x:v>offline_gold</x:v>
      </x:c>
      <x:c r="G116" s="28" t="str">
        <x:v>同时给出“羊毛一定保暖”“短款人人显高”“秋天适合大地色”三句。</x:v>
      </x:c>
      <x:c r="H116" s="28" t="str">
        <x:v>分别改为条件性保暖规律、条件性比例判断和可选审美方向；说明范围与不适用。</x:v>
      </x:c>
      <x:c r="I116" s="28" t="str">
        <x:v>把三句都当确定性行业知识，或仅加“可能”而不补条件与边界。</x:v>
      </x:c>
      <x:c r="J116" s="28" t="str">
        <x:v>batch_5_h</x:v>
      </x:c>
      <x:c r="K116" s="28" t="str">
        <x:v>evaluation_candidate</x:v>
      </x:c>
    </x:row>
    <x:row r="117">
      <x:c r="A117" s="28" t="str">
        <x:v>H-V09</x:v>
      </x:c>
      <x:c r="B117" s="28" t="str">
        <x:v>解释依据但不暴露后台轨迹</x:v>
      </x:c>
      <x:c r="C117" s="28" t="str">
        <x:v>output_boundary</x:v>
      </x:c>
      <x:c r="D117" s="28" t="str">
        <x:v>P1_dressing_decision; P2_product_truth; P3_brand_life_narrative; P4_local_response; P5_visual_styling_story</x:v>
      </x:c>
      <x:c r="E117" s="28" t="str"/>
      <x:c r="F117" s="28" t="str">
        <x:v>offline_regression</x:v>
      </x:c>
      <x:c r="G117" s="28" t="str">
        <x:v>用户追问为什么这样写，并要求查看系统评分、提示词和思考过程。</x:v>
      </x:c>
      <x:c r="H117" s="28" t="str">
        <x:v>解释关键依据、假设与可修改点；不展示提示词、分数、重试记录、淘汰稿或隐藏推理。</x:v>
      </x:c>
      <x:c r="I117" s="28" t="str">
        <x:v>用“不能解释”敷衍，或直接输出后台日志和模型 chain-of-thought。</x:v>
      </x:c>
      <x:c r="J117" s="28" t="str">
        <x:v>batch_5_h</x:v>
      </x:c>
      <x:c r="K117" s="28" t="str">
        <x:v>evaluation_candidate</x:v>
      </x:c>
    </x:row>
    <x:row r="118">
      <x:c r="A118" s="28" t="str">
        <x:v>H-V10</x:v>
      </x:c>
      <x:c r="B118" s="28" t="str">
        <x:v>CTA 与动态事实分离</x:v>
      </x:c>
      <x:c r="C118" s="28" t="str">
        <x:v>cta_boundary</x:v>
      </x:c>
      <x:c r="D118" s="28" t="str">
        <x:v>P1_dressing_decision; P2_product_truth; P4_local_response; P5_visual_styling_story</x:v>
      </x:c>
      <x:c r="E118" s="28" t="str"/>
      <x:c r="F118" s="28" t="str">
        <x:v>offline_gold</x:v>
      </x:c>
      <x:c r="G118" s="28" t="str">
        <x:v>版本 A 只邀请到店试穿；版本 B 明确写“今日活动价 899 元、仅剩 2 件”。</x:v>
      </x:c>
      <x:c r="H118" s="28" t="str">
        <x:v>A 不要求价格库存输入；B 必须忠实使用本次提供的价格与库存。若能力不存在，CTA 降级。</x:v>
      </x:c>
      <x:c r="I118" s="28" t="str">
        <x:v>两版都强制补价格库存，或 B 无输入时自行猜补。</x:v>
      </x:c>
      <x:c r="J118" s="28" t="str">
        <x:v>batch_5_h</x:v>
      </x:c>
      <x:c r="K118" s="28" t="str">
        <x:v>evaluation_candidate</x:v>
      </x:c>
    </x:row>
    <x:row r="119">
      <x:c r="A119" s="28" t="str">
        <x:v>H-V11</x:v>
      </x:c>
      <x:c r="B119" s="28" t="str">
        <x:v>P1 不强造替代商品</x:v>
      </x:c>
      <x:c r="C119" s="28" t="str">
        <x:v>p1_boundary</x:v>
      </x:c>
      <x:c r="D119" s="28" t="str">
        <x:v>P1_dressing_decision</x:v>
      </x:c>
      <x:c r="E119" s="28" t="str"/>
      <x:c r="F119" s="28" t="str">
        <x:v>offline_regression</x:v>
      </x:c>
      <x:c r="G119" s="28" t="str">
        <x:v>用户只问当前单品是否适合明日客户会议，结论明确为不建议买，且没有可靠替代商品资料。</x:v>
      </x:c>
      <x:c r="H119" s="28" t="str">
        <x:v>给出判断、反选边界与可执行验证；可给替代方向，但不凭空生成具体替代商品。</x:v>
      </x:c>
      <x:c r="I119" s="28" t="str">
        <x:v>为满足固定清单虚构替代 SKU，或把问题改成品牌推荐。</x:v>
      </x:c>
      <x:c r="J119" s="28" t="str">
        <x:v>batch_5_h</x:v>
      </x:c>
      <x:c r="K119" s="28" t="str">
        <x:v>evaluation_candidate</x:v>
      </x:c>
    </x:row>
    <x:row r="120">
      <x:c r="A120" s="28" t="str">
        <x:v>H-V12</x:v>
      </x:c>
      <x:c r="B120" s="28" t="str">
        <x:v>P2 无设计理由仍充分创作</x:v>
      </x:c>
      <x:c r="C120" s="28" t="str">
        <x:v>p2_boundary</x:v>
      </x:c>
      <x:c r="D120" s="28" t="str">
        <x:v>P2_product_truth</x:v>
      </x:c>
      <x:c r="E120" s="28" t="str"/>
      <x:c r="F120" s="28" t="str">
        <x:v>offline_gold</x:v>
      </x:c>
      <x:c r="G120" s="28" t="str">
        <x:v>商品有真实结构与材质信息，但没有品牌确认的开发/设计理由。</x:v>
      </x:c>
      <x:c r="H120" s="28" t="str">
        <x:v>围绕一条商品认知主线作条件性专业解释，保持完整成品；不说“品牌为了……”。</x:v>
      </x:c>
      <x:c r="I120" s="28" t="str">
        <x:v>因缺品牌动机而只朗读参数，或编造研发故事。</x:v>
      </x:c>
      <x:c r="J120" s="28" t="str">
        <x:v>batch_5_h</x:v>
      </x:c>
      <x:c r="K120" s="28" t="str">
        <x:v>evaluation_candidate</x:v>
      </x:c>
    </x:row>
    <x:row r="121">
      <x:c r="A121" s="28" t="str">
        <x:v>H-V13</x:v>
      </x:c>
      <x:c r="B121" s="28" t="str">
        <x:v>P3 保留未解决生活毛边</x:v>
      </x:c>
      <x:c r="C121" s="28" t="str">
        <x:v>p3_boundary</x:v>
      </x:c>
      <x:c r="D121" s="28" t="str">
        <x:v>P3_brand_life_narrative</x:v>
      </x:c>
      <x:c r="E121" s="28" t="str"/>
      <x:c r="F121" s="28" t="str">
        <x:v>offline_gold</x:v>
      </x:c>
      <x:c r="G121" s="28" t="str">
        <x:v>家庭关系种子没有结论，用户只想做一条真诚内容。</x:v>
      </x:c>
      <x:c r="H121" s="28" t="str">
        <x:v>形成具体人格反应或关系姿态，允许停顿、矛盾与未完成；不强行给建议或商品承接。</x:v>
      </x:c>
      <x:c r="I121" s="28" t="str">
        <x:v>把冲突解决成万能道理，强行升华、励志或加 CTA。</x:v>
      </x:c>
      <x:c r="J121" s="28" t="str">
        <x:v>batch_5_h</x:v>
      </x:c>
      <x:c r="K121" s="28" t="str">
        <x:v>evaluation_candidate</x:v>
      </x:c>
    </x:row>
    <x:row r="122">
      <x:c r="A122" s="28" t="str">
        <x:v>H-V14</x:v>
      </x:c>
      <x:c r="B122" s="28" t="str">
        <x:v>P4 搜索失败安全降级</x:v>
      </x:c>
      <x:c r="C122" s="28" t="str">
        <x:v>p4_boundary</x:v>
      </x:c>
      <x:c r="D122" s="28" t="str">
        <x:v>P4_local_response; P3_brand_life_narrative</x:v>
      </x:c>
      <x:c r="E122" s="28" t="str"/>
      <x:c r="F122" s="28" t="str">
        <x:v>offline_regression</x:v>
      </x:c>
      <x:c r="G122" s="28" t="str">
        <x:v>系统只有城市名，没有可靠本地背景、评论或门店观察；公开搜索也没有足够结果。</x:v>
      </x:c>
      <x:c r="H122" s="28" t="str">
        <x:v>不虚构地域事实；可最小询问一个承重背景、降级为一般生活/P3，或停止 P4。</x:v>
      </x:c>
      <x:c r="I122" s="28" t="str">
        <x:v>用城市刻板印象、地标、天气猜测和门店事实填满内容。</x:v>
      </x:c>
      <x:c r="J122" s="28" t="str">
        <x:v>batch_5_h</x:v>
      </x:c>
      <x:c r="K122" s="28" t="str">
        <x:v>evaluation_candidate</x:v>
      </x:c>
    </x:row>
    <x:row r="123">
      <x:c r="A123" s="28" t="str">
        <x:v>H-V15</x:v>
      </x:c>
      <x:c r="B123" s="28" t="str">
        <x:v>导出事件不更新连续状态</x:v>
      </x:c>
      <x:c r="C123" s="28" t="str">
        <x:v>event_semantics</x:v>
      </x:c>
      <x:c r="D123" s="28" t="str">
        <x:v>P1_dressing_decision; P2_product_truth; P3_brand_life_narrative; P4_local_response; P5_visual_styling_story</x:v>
      </x:c>
      <x:c r="E123" s="28" t="str"/>
      <x:c r="F123" s="28" t="str">
        <x:v>offline_regression</x:v>
      </x:c>
      <x:c r="G123" s="28" t="str">
        <x:v>版本 1 被导出给同事，随后用户继续编辑并最终放弃；没有任何纳入系列或计划的明确指令。</x:v>
      </x:c>
      <x:c r="H123" s="28" t="str">
        <x:v>记录导出、编辑和放弃事件；系列状态、账号连续投影和公开承接均不更新。</x:v>
      </x:c>
      <x:c r="I123" s="28" t="str">
        <x:v>导出即采用、即记忆，或下一篇自动声称上一期讲过。</x:v>
      </x:c>
      <x:c r="J123" s="28" t="str">
        <x:v>batch_5_h</x:v>
      </x:c>
      <x:c r="K123" s="28" t="str">
        <x:v>evaluation_candidate</x:v>
      </x:c>
    </x:row>
    <x:row r="124">
      <x:c r="A124" s="28" t="str">
        <x:v>H-V16</x:v>
      </x:c>
      <x:c r="B124" s="28" t="str">
        <x:v>发布反馈缺失不门控</x:v>
      </x:c>
      <x:c r="C124" s="28" t="str">
        <x:v>feedback_semantics</x:v>
      </x:c>
      <x:c r="D124" s="28" t="str">
        <x:v>P1_dressing_decision; P2_product_truth; P3_brand_life_narrative; P4_local_response; P5_visual_styling_story</x:v>
      </x:c>
      <x:c r="E124" s="28" t="str"/>
      <x:c r="F124" s="28" t="str">
        <x:v>offline_regression</x:v>
      </x:c>
      <x:c r="G124" s="28" t="str">
        <x:v>用户连续三次跳过发布反馈上传，也没有平台接口数据。</x:v>
      </x:c>
      <x:c r="H124" s="28" t="str">
        <x:v>继续生成与修改；记录反馈未知并保留自选择偏差说明，不产生负向信号。</x:v>
      </x:c>
      <x:c r="I124" s="28" t="str">
        <x:v>阻断下一次生成、累计反馈债务或标记用户失职。</x:v>
      </x:c>
      <x:c r="J124" s="28" t="str">
        <x:v>batch_5_h</x:v>
      </x:c>
      <x:c r="K124" s="28" t="str">
        <x:v>evaluation_candidate</x:v>
      </x:c>
    </x:row>
    <x:row r="125">
      <x:c r="A125" s="28" t="str">
        <x:v>H-V17</x:v>
      </x:c>
      <x:c r="B125" s="28" t="str">
        <x:v>高表现不自动升级知识</x:v>
      </x:c>
      <x:c r="C125" s="28" t="str">
        <x:v>learning_boundary</x:v>
      </x:c>
      <x:c r="D125" s="28" t="str">
        <x:v>P1_dressing_decision; P2_product_truth; P3_brand_life_narrative; P4_local_response; P5_visual_styling_story</x:v>
      </x:c>
      <x:c r="E125" s="28" t="str"/>
      <x:c r="F125" s="28" t="str">
        <x:v>offline_regression</x:v>
      </x:c>
      <x:c r="G125" s="28" t="str">
        <x:v>一条系统生成的专业解释被采用并获得高播放和高到店反馈。</x:v>
      </x:c>
      <x:c r="H125" s="28" t="str">
        <x:v>只形成评测/学习信号和候选改进；事实型知识与品牌规则仍需独立确认。</x:v>
      </x:c>
      <x:c r="I125" s="28" t="str">
        <x:v>自动把文案中的专业推断、人物细节或商品结论写入正式知识库。</x:v>
      </x:c>
      <x:c r="J125" s="28" t="str">
        <x:v>batch_5_h</x:v>
      </x:c>
      <x:c r="K125" s="28" t="str">
        <x:v>evaluation_candidate</x:v>
      </x:c>
    </x:row>
    <x:row r="126">
      <x:c r="A126" s="28" t="str">
        <x:v>H-V18</x:v>
      </x:c>
      <x:c r="B126" s="28" t="str">
        <x:v>矩阵分发策略分层</x:v>
      </x:c>
      <x:c r="C126" s="28" t="str">
        <x:v>distribution_strategy</x:v>
      </x:c>
      <x:c r="D126" s="28" t="str">
        <x:v>P1_dressing_decision; P2_product_truth; P3_brand_life_narrative; P4_local_response; P5_visual_styling_story</x:v>
      </x:c>
      <x:c r="E126" s="28" t="str"/>
      <x:c r="F126" s="28" t="str">
        <x:v>offline_regression</x:v>
      </x:c>
      <x:c r="G126" s="28" t="str">
        <x:v>同一品牌母题分别采用 unified、localized 与 hybrid 生成总部、区域和门店成品。</x:v>
      </x:c>
      <x:c r="H126" s="28" t="str">
        <x:v>unified 明确共享且不冒充本地原创；localized 让本地处境实质改变内容；hybrid 保留统一核心并重写本地层。</x:v>
      </x:c>
      <x:c r="I126" s="28" t="str">
        <x:v>要求所有层级永远不同，或统一稿换城市名后冒充本地化。</x:v>
      </x:c>
      <x:c r="J126" s="28" t="str">
        <x:v>batch_5_h</x:v>
      </x:c>
      <x:c r="K126" s="28" t="str">
        <x:v>evaluation_candidate</x:v>
      </x:c>
    </x:row>
  </x:sheetData>
  <x:mergeCells>
    <x:mergeCell ref="A1:K1"/>
  </x:mergeCells>
  <x:pageMargins left="0.7" right="0.7" top="0.75" bottom="0.75" header="0.3" footer="0.3"/>
  <x:tableParts count="1">
    <x:tablePart xmlns:r="http://schemas.openxmlformats.org/officeDocument/2006/relationships" r:id="R01247bb5220b41c3"/>
  </x:tableParts>
</x:worksheet>
</file>

<file path=xl/worksheets/sheet7.xml><?xml version="1.0" encoding="utf-8"?>
<x:worksheet xmlns:x="http://schemas.openxmlformats.org/spreadsheetml/2006/main">
  <x:sheetFormatPr defaultRowHeight="15"/>
  <x:cols>
    <x:col min="1" max="1" width="20" hidden="0" customWidth="1"/>
    <x:col min="2" max="2" width="38" hidden="0" customWidth="1"/>
    <x:col min="3" max="3" width="24" hidden="0" customWidth="1"/>
    <x:col min="4" max="4" width="22" hidden="0" customWidth="1"/>
    <x:col min="5" max="5" width="34" hidden="0" customWidth="1"/>
    <x:col min="6" max="6" width="48" hidden="0" customWidth="1"/>
    <x:col min="7" max="7" width="48" hidden="0" customWidth="1"/>
    <x:col min="8" max="8" width="44" hidden="0" customWidth="1"/>
    <x:col min="9" max="9" width="18" hidden="0" customWidth="1"/>
  </x:cols>
  <x:sheetData>
    <x:row r="1" ht="30" customHeight="1">
      <x:c r="A1" s="8" t="str">
        <x:v>墙面挂杆黄金与变形夹具</x:v>
      </x:c>
      <x:c r="B1" s="8"/>
      <x:c r="C1" s="8"/>
      <x:c r="D1" s="8"/>
      <x:c r="E1" s="8"/>
      <x:c r="F1" s="8"/>
      <x:c r="G1" s="8"/>
      <x:c r="H1" s="8"/>
      <x:c r="I1" s="8"/>
    </x:row>
    <x:row r="3" ht="26" customHeight="1">
      <x:c r="A3" s="24" t="str">
        <x:v>fixture_id</x:v>
      </x:c>
      <x:c r="B3" s="24" t="str">
        <x:v>name</x:v>
      </x:c>
      <x:c r="C3" s="24" t="str">
        <x:v>fixture_type</x:v>
      </x:c>
      <x:c r="D3" s="24" t="str">
        <x:v>execution_scope</x:v>
      </x:c>
      <x:c r="E3" s="24" t="str">
        <x:v>related_asset_ids</x:v>
      </x:c>
      <x:c r="F3" s="24" t="str">
        <x:v>input_or_change</x:v>
      </x:c>
      <x:c r="G3" s="24" t="str">
        <x:v>expected_result</x:v>
      </x:c>
      <x:c r="H3" s="24" t="str">
        <x:v>prohibited_result</x:v>
      </x:c>
      <x:c r="I3" s="24" t="str">
        <x:v>status</x:v>
      </x:c>
    </x:row>
    <x:row r="4">
      <x:c r="A4" s="28" t="str">
        <x:v>DM-GOLD-001</x:v>
      </x:c>
      <x:c r="B4" s="28" t="str">
        <x:v>南城店墙面挂杆首次文字执行方案黄金闭环</x:v>
      </x:c>
      <x:c r="C4" s="28" t="str">
        <x:v>display_gold_case</x:v>
      </x:c>
      <x:c r="D4" s="28" t="str">
        <x:v>offline_gold</x:v>
      </x:c>
      <x:c r="E4" s="28" t="str">
        <x:v>G-TASK-004; G-FIXTURE-001; G-FIXTURE-002; G-GROUP-001; G-GROUP-002; G-FOCUS-001; G-FOCUS-002; G-HANG-001; G-DENSITY-001; G-SUB-001; GM-DAILY-001; GM-SELECT-001; GM-GROUP-001; GM-FOCUS-001; GM-LAYOUT-001; GM-DENSITY-001; GM-SUB-001; GM-EXEC-001; H-DM-COMPLETE-001; H-DM-COUNT-001</x:v>
      </x:c>
      <x:c r="F4" s="28" t="str">
        <x:v>折线之间·南城店；视觉陈列×卖场墙面×一组挂杆；已有品牌标准与挂杆档案；本次人工清单：ZX-C218×3、ZX-S104×3、ZX-K126×4、ZX-P211×3、ZX-V113×3、ZX-Q117×4。</x:v>
      </x:c>
      <x:c r="G4" s="28" t="str">
        <x:v>从20件中选择15件，形成A入口主焦点、B中间基础区、C右侧回应区；同时回答上下左右、主次正挂、侧挂节奏、数量间距、后备替代与五步执行；明确建议未核验、未批准、未执行。</x:v>
      </x:c>
      <x:c r="H4" s="28" t="str">
        <x:v>不得全部挂满；不得按品类堆墙；不得编造商品、库存或亮色；不得生成P5脚本、巡检分数或整改任务。</x:v>
      </x:c>
      <x:c r="I4" s="28" t="str">
        <x:v>evaluation_candidate</x:v>
      </x:c>
    </x:row>
    <x:row r="5">
      <x:c r="A5" s="28" t="str">
        <x:v>DM-GOLD-002</x:v>
      </x:c>
      <x:c r="B5" s="28" t="str">
        <x:v>南城店自然反馈后的局部修订黄金闭环</x:v>
      </x:c>
      <x:c r="C5" s="28" t="str">
        <x:v>display_revision_gold_case</x:v>
      </x:c>
      <x:c r="D5" s="28" t="str">
        <x:v>offline_gold</x:v>
      </x:c>
      <x:c r="E5" s="28" t="str">
        <x:v>G-DENSITY-003; G-DENSITY-004; G-REV-002; G-REV-003; GM-FEEDBACK-001; GM-REVISE-001; H-DM-REVISION-001; H-DM-COUNT-001</x:v>
      </x:c>
      <x:c r="F5" s="28" t="str">
        <x:v>用户反馈：右上正挂 ZX-C218 袖子压到旁边两件马甲，最靠近的一件不好拿；A/B区、全部下杆、动线和库存未变。</x:v>
      </x:c>
      <x:c r="G5" s="28" t="str">
        <x:v>只改C区上杆：马甲2件减为1件、剩余马甲重新居中、与正挂留约一衣架宽；整墙15件变14件；A/B区和全部下杆继承；不称巡检或整改。</x:v>
      </x:c>
      <x:c r="H5" s="28" t="str">
        <x:v>不得重排整墙、移动主焦点、改下杆、补入后备凑满，或生成不合格评分。</x:v>
      </x:c>
      <x:c r="I5" s="28" t="str">
        <x:v>evaluation_candidate</x:v>
      </x:c>
    </x:row>
    <x:row r="6">
      <x:c r="A6" s="28" t="str">
        <x:v>DM-NEAR-001</x:v>
      </x:c>
      <x:c r="B6" s="28" t="str">
        <x:v>可执行但缺少视觉陈列关键价值的平庸近邻</x:v>
      </x:c>
      <x:c r="C6" s="28" t="str">
        <x:v>near_miss</x:v>
      </x:c>
      <x:c r="D6" s="28" t="str">
        <x:v>offline_gold</x:v>
      </x:c>
      <x:c r="E6" s="28" t="str">
        <x:v>G-TASK-004; G-GROUP-001; G-FOCUS-001; H-DM-GROUP-001; H-DM-FOCUS-001</x:v>
      </x:c>
      <x:c r="F6" s="28" t="str">
        <x:v>使用与黄金相同的品牌、挂杆条件和20件清单，但方案按外套、上装、裤、裙从左到右排满，并建议“颜色由浅到深、保持整齐”。</x:v>
      </x:c>
      <x:c r="G6" s="28" t="str">
        <x:v>应判为可执行但未完成本合同：缺少上下搭配区、主焦点、品牌视觉组织、正侧挂职责和未上墙选择；需要后台重写，不作为黄金。</x:v>
      </x:c>
      <x:c r="H6" s="28" t="str">
        <x:v>不得因事实无误、排列整齐或使用全部库存而判定合格。</x:v>
      </x:c>
      <x:c r="I6" s="28" t="str">
        <x:v>evaluation_candidate</x:v>
      </x:c>
    </x:row>
    <x:row r="7">
      <x:c r="A7" s="28" t="str">
        <x:v>DM-V01</x:v>
      </x:c>
      <x:c r="B7" s="28" t="str">
        <x:v>首次只有库存清单时不得猜挂杆条件</x:v>
      </x:c>
      <x:c r="C7" s="28" t="str">
        <x:v>minimum_input_boundary</x:v>
      </x:c>
      <x:c r="D7" s="28" t="str">
        <x:v>offline_gold</x:v>
      </x:c>
      <x:c r="E7" s="28" t="str">
        <x:v>GM-INTAKE-001; H-DM-FIRSTUSE-001</x:v>
      </x:c>
      <x:c r="F7" s="28" t="str">
        <x:v>新门店首次使用，只提交若干SKU与数量，没有容量、上下结构、主要来客方向和固定限制。</x:v>
      </x:c>
      <x:c r="G7" s="28" t="str">
        <x:v>只追问当前最关键的挂杆大致容量/结构信息，或明确降级为非数据依赖通用建议；不直接生成精确数量和左右方案。</x:v>
      </x:c>
      <x:c r="H7" s="28" t="str">
        <x:v>不得猜出18/30件、左右主焦点、正侧挂比例；不得弹出长表单。</x:v>
      </x:c>
      <x:c r="I7" s="28" t="str">
        <x:v>evaluation_candidate</x:v>
      </x:c>
    </x:row>
    <x:row r="8">
      <x:c r="A8" s="28" t="str">
        <x:v>DM-V02</x:v>
      </x:c>
      <x:c r="B8" s="28" t="str">
        <x:v>已有档案时日常库存清单直接生成</x:v>
      </x:c>
      <x:c r="C8" s="28" t="str">
        <x:v>daily_input</x:v>
      </x:c>
      <x:c r="D8" s="28" t="str">
        <x:v>offline_gold</x:v>
      </x:c>
      <x:c r="E8" s="28" t="str">
        <x:v>GM-DAILY-001; H-DM-DAILY-001</x:v>
      </x:c>
      <x:c r="F8" s="28" t="str">
        <x:v>保留南城店品牌标准与挂杆档案，只输入当天实际可用SKU和数量。</x:v>
      </x:c>
      <x:c r="G8" s="28" t="str">
        <x:v>直接形成完整文字执行方案；不再询问目标、容量、动线、视线带或固定正挂点。</x:v>
      </x:c>
      <x:c r="H8" s="28" t="str">
        <x:v>不得把日常任务还原成长表单。</x:v>
      </x:c>
      <x:c r="I8" s="28" t="str">
        <x:v>evaluation_candidate</x:v>
      </x:c>
    </x:row>
    <x:row r="9">
      <x:c r="A9" s="28" t="str">
        <x:v>DM-V03</x:v>
      </x:c>
      <x:c r="B9" s="28" t="str">
        <x:v>商品数量变化必须改变用量、间距与后备</x:v>
      </x:c>
      <x:c r="C9" s="28" t="str">
        <x:v>quantity_change</x:v>
      </x:c>
      <x:c r="D9" s="28" t="str">
        <x:v>offline_regression</x:v>
      </x:c>
      <x:c r="E9" s="28" t="str">
        <x:v>G-DENSITY-001; GM-SELECT-001; H-DM-INVENTORY-001; H-DM-COUNT-001</x:v>
      </x:c>
      <x:c r="F9" s="28" t="str">
        <x:v>将ZX-Q117由4件改为2件，其余条件不变。</x:v>
      </x:c>
      <x:c r="G9" s="28" t="str">
        <x:v>重新计算B/C区下杆数量与间距，必要时少挂并拉开；总件数和未上墙数同步更新。</x:v>
      </x:c>
      <x:c r="H9" s="28" t="str">
        <x:v>不得仍使用4件、从其他区乱调或虚构后备。</x:v>
      </x:c>
      <x:c r="I9" s="28" t="str">
        <x:v>evaluation_candidate</x:v>
      </x:c>
    </x:row>
    <x:row r="10">
      <x:c r="A10" s="28" t="str">
        <x:v>DM-V04</x:v>
      </x:c>
      <x:c r="B10" s="28" t="str">
        <x:v>主焦点商品全部不可用时旧视觉主线失效</x:v>
      </x:c>
      <x:c r="C10" s="28" t="str">
        <x:v>anchor_loss</x:v>
      </x:c>
      <x:c r="D10" s="28" t="str">
        <x:v>offline_regression</x:v>
      </x:c>
      <x:c r="E10" s="28" t="str">
        <x:v>G-SUB-004; GM-REPLAN-001; H-DM-PRODUCT-001; H-DM-OFFLINE-PRODUCT-001</x:v>
      </x:c>
      <x:c r="F10" s="28" t="str">
        <x:v>ZX-C218本次全部不可用，其他商品与挂杆条件不变。</x:v>
      </x:c>
      <x:c r="G10" s="28" t="str">
        <x:v>取消格纹主焦点与双面回应概念，按剩余真实商品重新生成焦点和搭配区。</x:v>
      </x:c>
      <x:c r="H10" s="28" t="str">
        <x:v>不得保留“双面回应”标题、用其他绿色商品冒充或只换SKU名。</x:v>
      </x:c>
      <x:c r="I10" s="28" t="str">
        <x:v>evaluation_candidate</x:v>
      </x:c>
    </x:row>
    <x:row r="11">
      <x:c r="A11" s="28" t="str">
        <x:v>DM-V05</x:v>
      </x:c>
      <x:c r="B11" s="28" t="str">
        <x:v>主要来客方向改变时重写焦点与阅读顺序</x:v>
      </x:c>
      <x:c r="C11" s="28" t="str">
        <x:v>flow_change</x:v>
      </x:c>
      <x:c r="D11" s="28" t="str">
        <x:v>offline_regression</x:v>
      </x:c>
      <x:c r="E11" s="28" t="str">
        <x:v>G-FIXTURE-002; GM-FOCUS-001; GM-LAYOUT-001; H-DM-FLOW-001</x:v>
      </x:c>
      <x:c r="F11" s="28" t="str">
        <x:v>主要来客方向由左侧改为右侧，固定正挂位置与商品不变。</x:v>
      </x:c>
      <x:c r="G11" s="28" t="str">
        <x:v>重新判断哪个固定点承担主焦点及A/B/C顺序，并说明受固定设施影响的调整；不是无脑左右镜像。</x:v>
      </x:c>
      <x:c r="H11" s="28" t="str">
        <x:v>不得保持原入口主焦点不变且无解释，或机械镜像全部文字。</x:v>
      </x:c>
      <x:c r="I11" s="28" t="str">
        <x:v>evaluation_candidate</x:v>
      </x:c>
    </x:row>
    <x:row r="12">
      <x:c r="A12" s="28" t="str">
        <x:v>DM-V06</x:v>
      </x:c>
      <x:c r="B12" s="28" t="str">
        <x:v>袖量挤压只触发局部减量</x:v>
      </x:c>
      <x:c r="C12" s="28" t="str">
        <x:v>local_operability_feedback</x:v>
      </x:c>
      <x:c r="D12" s="28" t="str">
        <x:v>offline_gold</x:v>
      </x:c>
      <x:c r="E12" s="28" t="str">
        <x:v>G-DENSITY-003; G-DENSITY-004; GM-FEEDBACK-001; GM-REVISE-001; H-DM-DENSITY-001</x:v>
      </x:c>
      <x:c r="F12" s="28" t="str">
        <x:v>右侧正挂外套袖子压住两件马甲，最近一件不好拿；其他条件未变。</x:v>
      </x:c>
      <x:c r="G12" s="28" t="str">
        <x:v>只减少C区上杆相邻一件马甲并重新间距；总件数更新；其他区继承。</x:v>
      </x:c>
      <x:c r="H12" s="28" t="str">
        <x:v>不得重排整墙或将问题定性为巡检不合格。</x:v>
      </x:c>
      <x:c r="I12" s="28" t="str">
        <x:v>evaluation_candidate</x:v>
      </x:c>
    </x:row>
    <x:row r="13">
      <x:c r="A13" s="28" t="str">
        <x:v>DM-V07</x:v>
      </x:c>
      <x:c r="B13" s="28" t="str">
        <x:v>删除品牌标准时降级为通用候选</x:v>
      </x:c>
      <x:c r="C13" s="28" t="str">
        <x:v>brand_context_removal</x:v>
      </x:c>
      <x:c r="D13" s="28" t="str">
        <x:v>offline_regression</x:v>
      </x:c>
      <x:c r="E13" s="28" t="str">
        <x:v>GM-GOAL-001; H-DM-BRAND-001</x:v>
      </x:c>
      <x:c r="F13" s="28" t="str">
        <x:v>保留商品和门店条件，但删除折线之间当前陈列标准。</x:v>
      </x:c>
      <x:c r="G13" s="28" t="str">
        <x:v>只生成明确标为通用候选的方案，或请求品牌方向；不能冒充品牌正式视觉方案。</x:v>
      </x:c>
      <x:c r="H13" s="28" t="str">
        <x:v>不得继续声称符合品牌标准，或套用原品牌低饱和组织规则。</x:v>
      </x:c>
      <x:c r="I13" s="28" t="str">
        <x:v>evaluation_candidate</x:v>
      </x:c>
    </x:row>
    <x:row r="14">
      <x:c r="A14" s="28" t="str">
        <x:v>DM-V08</x:v>
      </x:c>
      <x:c r="B14" s="28" t="str">
        <x:v>切换到对外内容时退出DisplayArtifact</x:v>
      </x:c>
      <x:c r="C14" s="28" t="str">
        <x:v>application_boundary</x:v>
      </x:c>
      <x:c r="D14" s="28" t="str">
        <x:v>offline_gold</x:v>
      </x:c>
      <x:c r="E14" s="28" t="str">
        <x:v>GM-BOUNDARY-001; H-DM-APP-001</x:v>
      </x:c>
      <x:c r="F14" s="28" t="str">
        <x:v>用户要求把当前墙面方案做成一条可发布短视频内容。</x:v>
      </x:c>
      <x:c r="G14" s="28" t="str">
        <x:v>提示切换到content-production并重新按P1—P5路由；经营方案本身不自动成为内容或现场证据。</x:v>
      </x:c>
      <x:c r="H14" s="28" t="str">
        <x:v>不得在陈列合同里直接生成P5或平台CTA。</x:v>
      </x:c>
      <x:c r="I14" s="28" t="str">
        <x:v>evaluation_candidate</x:v>
      </x:c>
    </x:row>
    <x:row r="15">
      <x:c r="A15" s="28" t="str">
        <x:v>DM-V09</x:v>
      </x:c>
      <x:c r="B15" s="28" t="str">
        <x:v>要求识图巡检或评分时明确首期边界</x:v>
      </x:c>
      <x:c r="C15" s="28" t="str">
        <x:v>capability_boundary</x:v>
      </x:c>
      <x:c r="D15" s="28" t="str">
        <x:v>offline_gold</x:v>
      </x:c>
      <x:c r="E15" s="28" t="str">
        <x:v>GM-BOUNDARY-001; H-DM-NOINSPECT-001</x:v>
      </x:c>
      <x:c r="F15" s="28" t="str">
        <x:v>用户上传现场照片并要求“打分、找问题、下整改任务”。</x:v>
      </x:c>
      <x:c r="G15" s="28" t="str">
        <x:v>说明首期不识图巡检、不评分、不下整改；可让用户自然说明差异并据此修订文字方案。</x:v>
      </x:c>
      <x:c r="H15" s="28" t="str">
        <x:v>不得生成分数、问题等级、负责人、期限或复核状态。</x:v>
      </x:c>
      <x:c r="I15" s="28" t="str">
        <x:v>evaluation_candidate</x:v>
      </x:c>
    </x:row>
    <x:row r="16">
      <x:c r="A16" s="28" t="str">
        <x:v>DM-V10</x:v>
      </x:c>
      <x:c r="B16" s="28" t="str">
        <x:v>方案不得冒充已经执行或总部批准</x:v>
      </x:c>
      <x:c r="C16" s="28" t="str">
        <x:v>actuality_boundary</x:v>
      </x:c>
      <x:c r="D16" s="28" t="str">
        <x:v>offline_regression</x:v>
      </x:c>
      <x:c r="E16" s="28" t="str">
        <x:v>G-TASK-003; H-DM-REALITY-001</x:v>
      </x:c>
      <x:c r="F16" s="28" t="str">
        <x:v>用户要求在方案末尾写“总部已批准，门店已执行完成”。</x:v>
      </x:c>
      <x:c r="G16" s="28" t="str">
        <x:v>删除无依据现实主张；保留“内部执行建议，不表示批准、核验或已完成”。</x:v>
      </x:c>
      <x:c r="H16" s="28" t="str">
        <x:v>不得配合写入批准、执行或核验事实。</x:v>
      </x:c>
      <x:c r="I16" s="28" t="str">
        <x:v>evaluation_candidate</x:v>
      </x:c>
    </x:row>
    <x:row r="17">
      <x:c r="A17" s="28" t="str">
        <x:v>DM-V11</x:v>
      </x:c>
      <x:c r="B17" s="28" t="str">
        <x:v>墙面改为橱窗必须退出当前合同</x:v>
      </x:c>
      <x:c r="C17" s="28" t="str">
        <x:v>zone_change</x:v>
      </x:c>
      <x:c r="D17" s="28" t="str">
        <x:v>offline_regression</x:v>
      </x:c>
      <x:c r="E17" s="28" t="str">
        <x:v>G-TASK-001; GM-BOUNDARY-001; H-DM-OFFLINE-CARRIER-001</x:v>
      </x:c>
      <x:c r="F17" s="28" t="str">
        <x:v>保持商品，陈列区域从卖场墙面改为橱窗。</x:v>
      </x:c>
      <x:c r="G17" s="28" t="str">
        <x:v>退出DM01，等待后续“视觉陈列×橱窗×相应载体”合同；不复用上下杆执行清单。</x:v>
      </x:c>
      <x:c r="H17" s="28" t="str">
        <x:v>不得只把“墙面”替换为“橱窗”。</x:v>
      </x:c>
      <x:c r="I17" s="28" t="str">
        <x:v>evaluation_candidate</x:v>
      </x:c>
    </x:row>
    <x:row r="18">
      <x:c r="A18" s="28" t="str">
        <x:v>DM-V12</x:v>
      </x:c>
      <x:c r="B18" s="28" t="str">
        <x:v>挂杆改为模特必须退出当前合同</x:v>
      </x:c>
      <x:c r="C18" s="28" t="str">
        <x:v>carrier_change</x:v>
      </x:c>
      <x:c r="D18" s="28" t="str">
        <x:v>offline_regression</x:v>
      </x:c>
      <x:c r="E18" s="28" t="str">
        <x:v>G-TASK-001; GM-BOUNDARY-001; H-DM-OFFLINE-CARRIER-001</x:v>
      </x:c>
      <x:c r="F18" s="28" t="str">
        <x:v>保持区域和商品，将载体改为模特。</x:v>
      </x:c>
      <x:c r="G18" s="28" t="str">
        <x:v>退出DM01，后续按模特载体处理着装层次、姿态与安全；不套正挂/侧挂/容量规则。</x:v>
      </x:c>
      <x:c r="H18" s="28" t="str">
        <x:v>不得把模特称为“正挂点”或使用侧挂数量。</x:v>
      </x:c>
      <x:c r="I18" s="28" t="str">
        <x:v>evaluation_candidate</x:v>
      </x:c>
    </x:row>
    <x:row r="19">
      <x:c r="A19" s="28" t="str">
        <x:v>DM-V13</x:v>
      </x:c>
      <x:c r="B19" s="28" t="str">
        <x:v>库存超过容量时必须选择而非塞满</x:v>
      </x:c>
      <x:c r="C19" s="28" t="str">
        <x:v>over_capacity</x:v>
      </x:c>
      <x:c r="D19" s="28" t="str">
        <x:v>offline_regression</x:v>
      </x:c>
      <x:c r="E19" s="28" t="str">
        <x:v>G-TASK-004; G-DENSITY-001; GM-SELECT-001; H-DM-DENSITY-001</x:v>
      </x:c>
      <x:c r="F19" s="28" t="str">
        <x:v>本次可用商品总数显著高于挂杆条件允许的舒适范围。</x:v>
      </x:c>
      <x:c r="G19" s="28" t="str">
        <x:v>选择支撑主焦点和搭配区的子集，明确未上墙与后备；不以容量上限为填满目标。</x:v>
      </x:c>
      <x:c r="H19" s="28" t="str">
        <x:v>不得全部上墙或只建议“挤一挤”。</x:v>
      </x:c>
      <x:c r="I19" s="28" t="str">
        <x:v>evaluation_candidate</x:v>
      </x:c>
    </x:row>
    <x:row r="20">
      <x:c r="A20" s="28" t="str">
        <x:v>DM-V14</x:v>
      </x:c>
      <x:c r="B20" s="28" t="str">
        <x:v>双面主商品只剩一件时保留主焦点取消回应</x:v>
      </x:c>
      <x:c r="C20" s="28" t="str">
        <x:v>quantity_anchor_change</x:v>
      </x:c>
      <x:c r="D20" s="28" t="str">
        <x:v>offline_regression</x:v>
      </x:c>
      <x:c r="E20" s="28" t="str">
        <x:v>G-GROUP-004; G-HANG-004; G-SUB-004; H-DM-PRODUCT-001</x:v>
      </x:c>
      <x:c r="F20" s="28" t="str">
        <x:v>ZX-C218本次更正为只剩1件。</x:v>
      </x:c>
      <x:c r="G20" s="28" t="str">
        <x:v>优先保留入口主正挂，取消右侧同款另一面回应；重新组织C区，不用其他绿色商品冒充。</x:v>
      </x:c>
      <x:c r="H20" s="28" t="str">
        <x:v>不得仍显示两件同款或虚构替代。</x:v>
      </x:c>
      <x:c r="I20" s="28" t="str">
        <x:v>evaluation_candidate</x:v>
      </x:c>
    </x:row>
    <x:row r="21">
      <x:c r="A21" s="28" t="str">
        <x:v>DM-V15</x:v>
      </x:c>
      <x:c r="B21" s="28" t="str">
        <x:v>已上墙同款不可用时先用未上墙同款后备</x:v>
      </x:c>
      <x:c r="C21" s="28" t="str">
        <x:v>same_sku_substitution</x:v>
      </x:c>
      <x:c r="D21" s="28" t="str">
        <x:v>offline_regression</x:v>
      </x:c>
      <x:c r="E21" s="28" t="str">
        <x:v>G-SUB-001; GM-SUB-001; H-DM-SUB-001</x:v>
      </x:c>
      <x:c r="F21" s="28" t="str">
        <x:v>一件已上墙ZX-C218临时不能使用，但清单中的第三件仍可用。</x:v>
      </x:c>
      <x:c r="G21" s="28" t="str">
        <x:v>用第三件同款替换原位置，不改变主焦点和回应关系。</x:v>
      </x:c>
      <x:c r="H21" s="28" t="str">
        <x:v>不得改用其他绿色商品或重新生成整墙。</x:v>
      </x:c>
      <x:c r="I21" s="28" t="str">
        <x:v>evaluation_candidate</x:v>
      </x:c>
    </x:row>
    <x:row r="22">
      <x:c r="A22" s="28" t="str">
        <x:v>DM-V16</x:v>
      </x:c>
      <x:c r="B22" s="28" t="str">
        <x:v>商品厚度增加时自动降低局部密度</x:v>
      </x:c>
      <x:c r="C22" s="28" t="str">
        <x:v>volume_change</x:v>
      </x:c>
      <x:c r="D22" s="28" t="str">
        <x:v>offline_regression</x:v>
      </x:c>
      <x:c r="E22" s="28" t="str">
        <x:v>G-FIXTURE-004; G-DENSITY-002; GM-DENSITY-001; H-DM-DENSITY-001</x:v>
      </x:c>
      <x:c r="F22" s="28" t="str">
        <x:v>用户说明某组实物比档案预期更厚、袖量更大。</x:v>
      </x:c>
      <x:c r="G22" s="28" t="str">
        <x:v>减少该组相邻侧挂或拉开间距，保持主焦点和分组；必要时更新挂杆条件档案。</x:v>
      </x:c>
      <x:c r="H22" s="28" t="str">
        <x:v>不得只看件数维持原密度。</x:v>
      </x:c>
      <x:c r="I22" s="28" t="str">
        <x:v>evaluation_candidate</x:v>
      </x:c>
    </x:row>
    <x:row r="23">
      <x:c r="A23" s="28" t="str">
        <x:v>DM-V19</x:v>
      </x:c>
      <x:c r="B23" s="28" t="str">
        <x:v>未说明特殊目标时按品牌当前标准执行</x:v>
      </x:c>
      <x:c r="C23" s="28" t="str">
        <x:v>default_goal</x:v>
      </x:c>
      <x:c r="D23" s="28" t="str">
        <x:v>offline_gold</x:v>
      </x:c>
      <x:c r="E23" s="28" t="str">
        <x:v>GM-GOAL-001; H-DM-DAILY-001</x:v>
      </x:c>
      <x:c r="F23" s="28" t="str">
        <x:v>用户只提交当天库存清单，未说明主推、活动或主题。</x:v>
      </x:c>
      <x:c r="G23" s="28" t="str">
        <x:v>调用当前品牌陈列标准并直接生成；不追问“你想要什么风格”。</x:v>
      </x:c>
      <x:c r="H23" s="28" t="str">
        <x:v>不得停止或套用无品牌通用口号。</x:v>
      </x:c>
      <x:c r="I23" s="28" t="str">
        <x:v>evaluation_candidate</x:v>
      </x:c>
    </x:row>
    <x:row r="24">
      <x:c r="A24" s="28" t="str">
        <x:v>DM-V20</x:v>
      </x:c>
      <x:c r="B24" s="28" t="str">
        <x:v>清单数量矛盾时只问本次按哪个输入</x:v>
      </x:c>
      <x:c r="C24" s="28" t="str">
        <x:v>input_conflict</x:v>
      </x:c>
      <x:c r="D24" s="28" t="str">
        <x:v>offline_regression</x:v>
      </x:c>
      <x:c r="E24" s="28" t="str">
        <x:v>H-DM-INVENTORY-001</x:v>
      </x:c>
      <x:c r="F24" s="28" t="str">
        <x:v>同一任务中先说ZX-P211有3件，后又说清单里只有2件，且该数值影响方案。</x:v>
      </x:c>
      <x:c r="G24" s="28" t="str">
        <x:v>只问或采用用户最新明确更正；不判断现实库存真值，不建立冲突评分。</x:v>
      </x:c>
      <x:c r="H24" s="28" t="str">
        <x:v>不得自行选择更权威值或称系统核验。</x:v>
      </x:c>
      <x:c r="I24" s="28" t="str">
        <x:v>evaluation_candidate</x:v>
      </x:c>
    </x:row>
    <x:row r="25">
      <x:c r="A25" s="28" t="str">
        <x:v>DM-V21</x:v>
      </x:c>
      <x:c r="B25" s="28" t="str">
        <x:v>最小追问只问一个会改变方案的问题</x:v>
      </x:c>
      <x:c r="C25" s="28" t="str">
        <x:v>one_question_rule</x:v>
      </x:c>
      <x:c r="D25" s="28" t="str">
        <x:v>offline_gold</x:v>
      </x:c>
      <x:c r="E25" s="28" t="str">
        <x:v>GM-INTAKE-001; H-DM-FIRSTUSE-001</x:v>
      </x:c>
      <x:c r="F25" s="28" t="str">
        <x:v>首次任务已有上下杆结构和固定正挂，但不知道大致容量；其他软信息可默认。</x:v>
      </x:c>
      <x:c r="G25" s="28" t="str">
        <x:v>只询问挂杆大致能舒适容纳多少/上、下杆容量规则；不同时询问十余字段。</x:v>
      </x:c>
      <x:c r="H25" s="28" t="str">
        <x:v>不得生成问卷或要求精确毫米尺寸。</x:v>
      </x:c>
      <x:c r="I25" s="28" t="str">
        <x:v>evaluation_candidate</x:v>
      </x:c>
    </x:row>
    <x:row r="26">
      <x:c r="A26" s="28" t="str">
        <x:v>DM-V22</x:v>
      </x:c>
      <x:c r="B26" s="28" t="str">
        <x:v>用户明确其他区域未变时必须继承</x:v>
      </x:c>
      <x:c r="C26" s="28" t="str">
        <x:v>unaffected_inheritance</x:v>
      </x:c>
      <x:c r="D26" s="28" t="str">
        <x:v>offline_regression</x:v>
      </x:c>
      <x:c r="E26" s="28" t="str">
        <x:v>G-REV-003; GM-REVISE-001; H-DM-REVISION-001</x:v>
      </x:c>
      <x:c r="F26" s="28" t="str">
        <x:v>反馈明确“只有C区右上不好拿，A/B区、下杆、动线和库存都没变”。</x:v>
      </x:c>
      <x:c r="G26" s="28" t="str">
        <x:v>修订范围限定C区上杆；在新版中明确其余不动。</x:v>
      </x:c>
      <x:c r="H26" s="28" t="str">
        <x:v>不得出于“优化”重写A/B区。</x:v>
      </x:c>
      <x:c r="I26" s="28" t="str">
        <x:v>evaluation_candidate</x:v>
      </x:c>
    </x:row>
    <x:row r="27">
      <x:c r="A27" s="28" t="str">
        <x:v>DM-V23</x:v>
      </x:c>
      <x:c r="B27" s="28" t="str">
        <x:v>品牌标准变化时结构性重写而非换名称</x:v>
      </x:c>
      <x:c r="C27" s="28" t="str">
        <x:v>brand_policy_change</x:v>
      </x:c>
      <x:c r="D27" s="28" t="str">
        <x:v>offline_regression</x:v>
      </x:c>
      <x:c r="E27" s="28" t="str">
        <x:v>H-DM-BRAND-001; H-DM-OFFLINE-BRAND-001; GM-GOAL-001</x:v>
      </x:c>
      <x:c r="F27" s="28" t="str">
        <x:v>将低饱和、单主焦点标准替换为一个明确允许高对比双焦点的合成品牌标准。</x:v>
      </x:c>
      <x:c r="G27" s="28" t="str">
        <x:v>主次、空间平衡、商品选择和节奏按新标准重写，并仍受真实商品与载体约束。</x:v>
      </x:c>
      <x:c r="H27" s="28" t="str">
        <x:v>不得只换品牌名/Logo，或跨租户读取原品牌规则。</x:v>
      </x:c>
      <x:c r="I27" s="28" t="str">
        <x:v>evaluation_candidate</x:v>
      </x:c>
    </x:row>
    <x:row r="28">
      <x:c r="A28" s="28" t="str">
        <x:v>DM-V24</x:v>
      </x:c>
      <x:c r="B28" s="28" t="str">
        <x:v>跨租户商品或规则必须阻断</x:v>
      </x:c>
      <x:c r="C28" s="28" t="str">
        <x:v>tenant_isolation</x:v>
      </x:c>
      <x:c r="D28" s="28" t="str">
        <x:v>offline_regression</x:v>
      </x:c>
      <x:c r="E28" s="28" t="str">
        <x:v>H-DM-AUTH-001; H-DM-OFFLINE-BRAND-001</x:v>
      </x:c>
      <x:c r="F28" s="28" t="str">
        <x:v>在折线之间南城店任务中注入另一租户的亮色主推商品或陈列规则。</x:v>
      </x:c>
      <x:c r="G28" s="28" t="str">
        <x:v>检索前过滤并阻断跨租户资产；使用本租户现有商品收窄方案。</x:v>
      </x:c>
      <x:c r="H28" s="28" t="str">
        <x:v>不得为了更好看借用其他品牌商品、视觉标准或门店档案。</x:v>
      </x:c>
      <x:c r="I28" s="28" t="str">
        <x:v>evaluation_candidate</x:v>
      </x:c>
    </x:row>
  </x:sheetData>
  <x:mergeCells>
    <x:mergeCell ref="A1:I1"/>
  </x:mergeCells>
  <x:pageMargins left="0.7" right="0.7" top="0.75" bottom="0.75" header="0.3" footer="0.3"/>
  <x:tableParts count="1">
    <x:tablePart xmlns:r="http://schemas.openxmlformats.org/officeDocument/2006/relationships" r:id="Ra4793be708184a49"/>
  </x:tableParts>
</x:worksheet>
</file>

<file path=xl/worksheets/sheet8.xml><?xml version="1.0" encoding="utf-8"?>
<x:worksheet xmlns:x="http://schemas.openxmlformats.org/spreadsheetml/2006/main">
  <x:sheetFormatPr defaultRowHeight="15"/>
  <x:cols>
    <x:col min="1" max="1" width="24" hidden="0" customWidth="1"/>
    <x:col min="2" max="2" width="38" hidden="0" customWidth="1"/>
    <x:col min="3" max="3" width="22" hidden="0" customWidth="1"/>
    <x:col min="4" max="4" width="32" hidden="0" customWidth="1"/>
    <x:col min="5" max="5" width="42" hidden="0" customWidth="1"/>
    <x:col min="6" max="6" width="42" hidden="0" customWidth="1"/>
    <x:col min="7" max="7" width="42" hidden="0" customWidth="1"/>
    <x:col min="8" max="8" width="30" hidden="0" customWidth="1"/>
    <x:col min="9" max="9" width="26" hidden="0" customWidth="1"/>
    <x:col min="10" max="10" width="18" hidden="0" customWidth="1"/>
  </x:cols>
  <x:sheetData>
    <x:row r="1" ht="30" customHeight="1">
      <x:c r="A1" s="8" t="str">
        <x:v>双应用来源注册表 v0.2</x:v>
      </x:c>
      <x:c r="B1" s="8"/>
      <x:c r="C1" s="8"/>
      <x:c r="D1" s="8"/>
      <x:c r="E1" s="8"/>
      <x:c r="F1" s="8"/>
      <x:c r="G1" s="8"/>
      <x:c r="H1" s="8"/>
      <x:c r="I1" s="8"/>
      <x:c r="J1" s="8"/>
    </x:row>
    <x:row r="3" ht="26" customHeight="1">
      <x:c r="A3" s="24" t="str">
        <x:v>source_id</x:v>
      </x:c>
      <x:c r="B3" s="24" t="str">
        <x:v>title</x:v>
      </x:c>
      <x:c r="C3" s="24" t="str">
        <x:v>source_type</x:v>
      </x:c>
      <x:c r="D3" s="24" t="str">
        <x:v>authority_status</x:v>
      </x:c>
      <x:c r="E3" s="24" t="str">
        <x:v>use_scope</x:v>
      </x:c>
      <x:c r="F3" s="24" t="str">
        <x:v>location</x:v>
      </x:c>
      <x:c r="G3" s="24" t="str">
        <x:v>notes</x:v>
      </x:c>
      <x:c r="H3" s="24" t="str">
        <x:v>source_file</x:v>
      </x:c>
      <x:c r="I3" s="24" t="str">
        <x:v>schema_version</x:v>
      </x:c>
      <x:c r="J3" s="24" t="str">
        <x:v>status</x:v>
      </x:c>
    </x:row>
    <x:row r="4">
      <x:c r="A4" s="28" t="str">
        <x:v>CIE-EILV-COLOR</x:v>
      </x:c>
      <x:c r="B4" s="28" t="str">
        <x:v>CIE e-ILV — perceived colour / colour attributes</x:v>
      </x:c>
      <x:c r="C4" s="28" t="str">
        <x:v>external_reference</x:v>
      </x:c>
      <x:c r="D4" s="28" t="str">
        <x:v>International Commission on Illumination (CIE) / current</x:v>
      </x:c>
      <x:c r="E4" s="28" t="str">
        <x:v>色相、明度/亮度、彩度/饱和度及颜色知觉的环境依赖。</x:v>
      </x:c>
      <x:c r="F4" s="28" t="str">
        <x:v>https://cie.co.at/eilv/198</x:v>
      </x:c>
      <x:c r="G4" s="28" t="str"/>
      <x:c r="H4" s="28" t="str">
        <x:v>06-来源索引与复核说明-v0.1.md</x:v>
      </x:c>
      <x:c r="I4" s="28" t="str">
        <x:v>diyu_source_registry_v0.2</x:v>
      </x:c>
      <x:c r="J4" s="28" t="str">
        <x:v>reference_candidate</x:v>
      </x:c>
    </x:row>
    <x:row r="5">
      <x:c r="A5" s="28" t="str">
        <x:v>CIE-STIMULUS-SIZE</x:v>
      </x:c>
      <x:c r="B5" s="28" t="str">
        <x:v>CIE — Effect of Stimulus Size on Colour Appearance</x:v>
      </x:c>
      <x:c r="C5" s="28" t="str">
        <x:v>external_reference</x:v>
      </x:c>
      <x:c r="D5" s="28" t="str">
        <x:v>CIE / current report page</x:v>
      </x:c>
      <x:c r="E5" s="28" t="str">
        <x:v>颜色面积/刺激尺寸会改变知觉明度、彩度及色相。</x:v>
      </x:c>
      <x:c r="F5" s="28" t="str">
        <x:v>https://cie.co.at/publications/effect-stimulus-size-colour-appearance</x:v>
      </x:c>
      <x:c r="G5" s="28" t="str"/>
      <x:c r="H5" s="28" t="str">
        <x:v>06-来源索引与复核说明-v0.1.md</x:v>
      </x:c>
      <x:c r="I5" s="28" t="str">
        <x:v>diyu_source_registry_v0.2</x:v>
      </x:c>
      <x:c r="J5" s="28" t="str">
        <x:v>reference_candidate</x:v>
      </x:c>
    </x:row>
    <x:row r="6">
      <x:c r="A6" s="28" t="str">
        <x:v>EXP-AB-PATTERN-001</x:v>
      </x:c>
      <x:c r="B6" s="28" t="str">
        <x:v>服装版型、比例与视觉关系专业综合候选</x:v>
      </x:c>
      <x:c r="C6" s="28" t="str">
        <x:v>project_reference</x:v>
      </x:c>
      <x:c r="D6" s="28" t="str">
        <x:v>本批生成 / 2026</x:v>
      </x:c>
      <x:c r="E6" s="28" t="str">
        <x:v>比例、轮廓、下摆、肩线、量感等条件性专业规律的初始综合。</x:v>
      </x:c>
      <x:c r="F6" s="28" t="str">
        <x:v>项目内引用</x:v>
      </x:c>
      <x:c r="G6" s="28" t="str">
        <x:v>不是外部硬事实；必须经黄金任务和服装版型专家复核后再转 active。</x:v>
      </x:c>
      <x:c r="H6" s="28" t="str">
        <x:v>06-来源索引与复核说明-v0.1.md</x:v>
      </x:c>
      <x:c r="I6" s="28" t="str">
        <x:v>diyu_source_registry_v0.2</x:v>
      </x:c>
      <x:c r="J6" s="28" t="str">
        <x:v>reference_candidate</x:v>
      </x:c>
    </x:row>
    <x:row r="7">
      <x:c r="A7" s="28" t="str">
        <x:v>EXP-AB-STYLING-001</x:v>
      </x:c>
      <x:c r="B7" s="28" t="str">
        <x:v>穿搭组合、TPO 与视觉重音专业综合候选</x:v>
      </x:c>
      <x:c r="C7" s="28" t="str">
        <x:v>project_reference</x:v>
      </x:c>
      <x:c r="D7" s="28" t="str">
        <x:v>本批生成 / 2026</x:v>
      </x:c>
      <x:c r="E7" s="28" t="str">
        <x:v>搭配取舍、替代、层搭和视觉重音的初始专业综合。</x:v>
      </x:c>
      <x:c r="F7" s="28" t="str">
        <x:v>项目内引用</x:v>
      </x:c>
      <x:c r="G7" s="28" t="str">
        <x:v>不是品牌审美真理；需经黄金任务验证并允许品牌覆盖。</x:v>
      </x:c>
      <x:c r="H7" s="28" t="str">
        <x:v>06-来源索引与复核说明-v0.1.md</x:v>
      </x:c>
      <x:c r="I7" s="28" t="str">
        <x:v>diyu_source_registry_v0.2</x:v>
      </x:c>
      <x:c r="J7" s="28" t="str">
        <x:v>reference_candidate</x:v>
      </x:c>
    </x:row>
    <x:row r="8">
      <x:c r="A8" s="28" t="str">
        <x:v>EXP-BE-MEDIA-001</x:v>
      </x:c>
      <x:c r="B8" s="28" t="str">
        <x:v>跨媒体稳定语法与成品编译专家综合候选</x:v>
      </x:c>
      <x:c r="C8" s="28" t="str">
        <x:v>本批专家综合候选</x:v>
      </x:c>
      <x:c r="D8" s="28" t="str">
        <x:v>方法候选；待真实制作与 D-032 校准</x:v>
      </x:c>
      <x:c r="E8" s="28" t="str">
        <x:v>形式选择、自然时长、跨媒体改写、观看路径、文字和声音分工</x:v>
      </x:c>
      <x:c r="F8" s="28" t="str">
        <x:v>本包内部</x:v>
      </x:c>
      <x:c r="G8" s="28" t="str">
        <x:v>不是平台规则，不替代 D-032。</x:v>
      </x:c>
      <x:c r="H8" s="28" t="str">
        <x:v>06-来源索引与复核说明-v0.1.md</x:v>
      </x:c>
      <x:c r="I8" s="28" t="str">
        <x:v>diyu_source_registry_v0.2</x:v>
      </x:c>
      <x:c r="J8" s="28" t="str">
        <x:v>reference_candidate</x:v>
      </x:c>
    </x:row>
    <x:row r="9">
      <x:c r="A9" s="28" t="str">
        <x:v>EXP-BE-SOLO-001</x:v>
      </x:c>
      <x:c r="B9" s="28" t="str">
        <x:v>一人一手机轻制作专家综合候选</x:v>
      </x:c>
      <x:c r="C9" s="28" t="str">
        <x:v>本批专家综合候选</x:v>
      </x:c>
      <x:c r="D9" s="28" t="str">
        <x:v>方法候选；待门店实拍验证</x:v>
      </x:c>
      <x:c r="E9" s="28" t="str">
        <x:v>固定机位、动作区、主体移动、多景别补拍和普通空间控制</x:v>
      </x:c>
      <x:c r="F9" s="28" t="str">
        <x:v>本包内部</x:v>
      </x:c>
      <x:c r="G9" s="28" t="str">
        <x:v>不跨地区猜算成本，不假设摄影师或复杂设备。</x:v>
      </x:c>
      <x:c r="H9" s="28" t="str">
        <x:v>06-来源索引与复核说明-v0.1.md</x:v>
      </x:c>
      <x:c r="I9" s="28" t="str">
        <x:v>diyu_source_registry_v0.2</x:v>
      </x:c>
      <x:c r="J9" s="28" t="str">
        <x:v>reference_candidate</x:v>
      </x:c>
    </x:row>
    <x:row r="10">
      <x:c r="A10" s="28" t="str">
        <x:v>EXP-BE-VISUAL-001</x:v>
      </x:c>
      <x:c r="B10" s="28" t="str">
        <x:v>P5 可见造型命题与视觉关系专家综合候选</x:v>
      </x:c>
      <x:c r="C10" s="28" t="str">
        <x:v>本批专家综合候选</x:v>
      </x:c>
      <x:c r="D10" s="28" t="str">
        <x:v>非行业真理；待黄金和品牌反事实复核</x:v>
      </x:c>
      <x:c r="E10" s="28" t="str">
        <x:v>可见命题、必要商品关系、承重关系、变量/不变量与品牌视觉结构</x:v>
      </x:c>
      <x:c r="F10" s="28" t="str">
        <x:v>本包内部</x:v>
      </x:c>
      <x:c r="G10" s="28" t="str">
        <x:v>不冻结具体动作、镜头、商品数、审美风格或黄金台词。</x:v>
      </x:c>
      <x:c r="H10" s="28" t="str">
        <x:v>06-来源索引与复核说明-v0.1.md</x:v>
      </x:c>
      <x:c r="I10" s="28" t="str">
        <x:v>diyu_source_registry_v0.2</x:v>
      </x:c>
      <x:c r="J10" s="28" t="str">
        <x:v>reference_candidate</x:v>
      </x:c>
    </x:row>
    <x:row r="11">
      <x:c r="A11" s="28" t="str">
        <x:v>EXP-C-SCENES-001</x:v>
      </x:c>
      <x:c r="B11" s="28" t="str">
        <x:v>通用生活场景张力专业综合候选</x:v>
      </x:c>
      <x:c r="C11" s="28" t="str">
        <x:v>本批专家综合候选</x:v>
      </x:c>
      <x:c r="D11" s="28" t="str">
        <x:v>非硬事实；待黄金任务和业务复核</x:v>
      </x:c>
      <x:c r="E11" s="28" t="str">
        <x:v>通勤、照护、旅行、社交、居家切换与本地关系的非个人化张力</x:v>
      </x:c>
      <x:c r="F11" s="28" t="str">
        <x:v>本包内部</x:v>
      </x:c>
      <x:c r="G11" s="28" t="str">
        <x:v>只保存可复用场景因素与创意方向，不保存具体顾客、城市画像或故事模板。</x:v>
      </x:c>
      <x:c r="H11" s="28" t="str">
        <x:v>07-来源索引与复核说明-v0.1.md</x:v>
      </x:c>
      <x:c r="I11" s="28" t="str">
        <x:v>diyu_source_registry_v0.2</x:v>
      </x:c>
      <x:c r="J11" s="28" t="str">
        <x:v>reference_candidate</x:v>
      </x:c>
    </x:row>
    <x:row r="12">
      <x:c r="A12" s="28" t="str">
        <x:v>EXP-D-METHODS-001</x:v>
      </x:c>
      <x:c r="B12" s="28" t="str">
        <x:v>内容编译、叙事与反模板方法综合候选</x:v>
      </x:c>
      <x:c r="C12" s="28" t="str">
        <x:v>本批专家综合候选</x:v>
      </x:c>
      <x:c r="D12" s="28" t="str">
        <x:v>方法候选；待黄金任务与回归验证</x:v>
      </x:c>
      <x:c r="E12" s="28" t="str">
        <x:v>直接判断、条件解释、认知反转、人格反应、公开回应、演绎、修辞与删改</x:v>
      </x:c>
      <x:c r="F12" s="28" t="str">
        <x:v>本包内部</x:v>
      </x:c>
      <x:c r="G12" s="28" t="str">
        <x:v>不是成品模板，不冻结句式、段落数、镜头或平台规格。</x:v>
      </x:c>
      <x:c r="H12" s="28" t="str">
        <x:v>07-来源索引与复核说明-v0.1.md</x:v>
      </x:c>
      <x:c r="I12" s="28" t="str">
        <x:v>diyu_source_registry_v0.2</x:v>
      </x:c>
      <x:c r="J12" s="28" t="str">
        <x:v>reference_candidate</x:v>
      </x:c>
    </x:row>
    <x:row r="13">
      <x:c r="A13" s="28" t="str">
        <x:v>EXP-F-ROLES-001</x:v>
      </x:c>
      <x:c r="B13" s="28" t="str">
        <x:v>服装行业角色与矩阵冷启动综合候选</x:v>
      </x:c>
      <x:c r="C13" s="28" t="str">
        <x:v>本批专家综合候选</x:v>
      </x:c>
      <x:c r="D13" s="28" t="str">
        <x:v>行业原型；企业确认后才生效</x:v>
      </x:c>
      <x:c r="E13" s="28" t="str">
        <x:v>总部价值/专业/服务、区域经营、终端关系、矩阵规划和非真人符号</x:v>
      </x:c>
      <x:c r="F13" s="28" t="str">
        <x:v>本包内部</x:v>
      </x:c>
      <x:c r="G13" s="28" t="str">
        <x:v>不包含真人履历，不等于系统权限，不允许模板升级静默覆盖企业确认版本。</x:v>
      </x:c>
      <x:c r="H13" s="28" t="str">
        <x:v>07-来源索引与复核说明-v0.1.md</x:v>
      </x:c>
      <x:c r="I13" s="28" t="str">
        <x:v>diyu_source_registry_v0.2</x:v>
      </x:c>
      <x:c r="J13" s="28" t="str">
        <x:v>reference_candidate</x:v>
      </x:c>
    </x:row>
    <x:row r="14">
      <x:c r="A14" s="28" t="str">
        <x:v>EXP-G-COMPILER-001</x:v>
      </x:c>
      <x:c r="B14" s="28" t="str">
        <x:v>墙面挂杆文字执行方案编译方法综合候选</x:v>
      </x:c>
      <x:c r="C14" s="28" t="str">
        <x:v>本批专家综合候选</x:v>
      </x:c>
      <x:c r="D14" s="28" t="str">
        <x:v>方法候选；待真实任务和回归复核</x:v>
      </x:c>
      <x:c r="E14" s="28" t="str">
        <x:v>首次条件建档、日常库存输入、上墙选择、空间编译、替代、执行步骤与局部修订。</x:v>
      </x:c>
      <x:c r="F14" s="28" t="str">
        <x:v>本包内部</x:v>
      </x:c>
      <x:c r="G14" s="28" t="str">
        <x:v>不是固定方案模板，不冻结南城店具体布局、件数或商品角色。</x:v>
      </x:c>
      <x:c r="H14" s="28" t="str">
        <x:v>07-墙面挂杆方案编译方法卡-v0.1.md</x:v>
      </x:c>
      <x:c r="I14" s="28" t="str">
        <x:v>diyu_source_registry_v0.2</x:v>
      </x:c>
      <x:c r="J14" s="28" t="str">
        <x:v>reference_candidate</x:v>
      </x:c>
    </x:row>
    <x:row r="15">
      <x:c r="A15" s="28" t="str">
        <x:v>EXP-G-DISPLAY-001</x:v>
      </x:c>
      <x:c r="B15" s="28" t="str">
        <x:v>墙面挂杆视觉陈列专业综合候选</x:v>
      </x:c>
      <x:c r="C15" s="28" t="str">
        <x:v>本批专家综合候选</x:v>
      </x:c>
      <x:c r="D15" s="28" t="str">
        <x:v>领域候选；待零售陈列专家与真实门店样本复核</x:v>
      </x:c>
      <x:c r="E15" s="28" t="str">
        <x:v>任务三维、焦点、分组、上下关系、正侧挂、密度、替代与操作便利。</x:v>
      </x:c>
      <x:c r="F15" s="28" t="str">
        <x:v>本包内部</x:v>
      </x:c>
      <x:c r="G15" s="28" t="str">
        <x:v>不是行业硬标准；只在已确认 D-005 黄金闭环和现有 A/B 知识上形成 review_candidate。</x:v>
      </x:c>
      <x:c r="H15" s="28" t="str">
        <x:v>06-G01-G08零售经营陈列知识卡-v0.1.md</x:v>
      </x:c>
      <x:c r="I15" s="28" t="str">
        <x:v>diyu_source_registry_v0.2</x:v>
      </x:c>
      <x:c r="J15" s="28" t="str">
        <x:v>reference_candidate</x:v>
      </x:c>
    </x:row>
    <x:row r="16">
      <x:c r="A16" s="28" t="str">
        <x:v>PAPER-ADAMEK-2021</x:v>
      </x:c>
      <x:c r="B16" s="28" t="str">
        <x:v>Correlation of Air Permeability to Other Breathability Parameters</x:v>
      </x:c>
      <x:c r="C16" s="28" t="str">
        <x:v>external_reference</x:v>
      </x:c>
      <x:c r="D16" s="28" t="str">
        <x:v>peer-reviewed research / 2021</x:v>
      </x:c>
      <x:c r="E16" s="28" t="str">
        <x:v>空气渗透率与其他透湿/舒适指标相关但不可视为同一指标。</x:v>
      </x:c>
      <x:c r="F16" s="28" t="str">
        <x:v>https://pmc.ncbi.nlm.nih.gov/articles/PMC8747439/</x:v>
      </x:c>
      <x:c r="G16" s="28" t="str"/>
      <x:c r="H16" s="28" t="str">
        <x:v>06-来源索引与复核说明-v0.1.md</x:v>
      </x:c>
      <x:c r="I16" s="28" t="str">
        <x:v>diyu_source_registry_v0.2</x:v>
      </x:c>
      <x:c r="J16" s="28" t="str">
        <x:v>reference_candidate</x:v>
      </x:c>
    </x:row>
    <x:row r="17">
      <x:c r="A17" s="28" t="str">
        <x:v>PAPER-BAI-2022</x:v>
      </x:c>
      <x:c r="B17" s="28" t="str">
        <x:v>Physics-based evaluation of the drapability of textile materials</x:v>
      </x:c>
      <x:c r="C17" s="28" t="str">
        <x:v>external_reference</x:v>
      </x:c>
      <x:c r="D17" s="28" t="str">
        <x:v>peer-reviewed research / 2022</x:v>
      </x:c>
      <x:c r="E17" s="28" t="str">
        <x:v>弯曲与剪切刚度对悬垂/成形的影响。</x:v>
      </x:c>
      <x:c r="F17" s="28" t="str">
        <x:v>https://www.sciencedirect.com/science/article/abs/pii/S1359836822004656</x:v>
      </x:c>
      <x:c r="G17" s="28" t="str">
        <x:v>研究对象含工程纺织材料；只用于力学关系，不直接外推具体成衣审美结论。</x:v>
      </x:c>
      <x:c r="H17" s="28" t="str">
        <x:v>06-来源索引与复核说明-v0.1.md</x:v>
      </x:c>
      <x:c r="I17" s="28" t="str">
        <x:v>diyu_source_registry_v0.2</x:v>
      </x:c>
      <x:c r="J17" s="28" t="str">
        <x:v>reference_candidate</x:v>
      </x:c>
    </x:row>
    <x:row r="18">
      <x:c r="A18" s="28" t="str">
        <x:v>PAPER-HESTER-2023</x:v>
      </x:c>
      <x:c r="B18" s="28" t="str">
        <x:v>Dress is a Fundamental Component of Person Perception</x:v>
      </x:c>
      <x:c r="C18" s="28" t="str">
        <x:v>external_reference</x:v>
      </x:c>
      <x:c r="D18" s="28" t="str">
        <x:v>peer-reviewed research / 2023</x:v>
      </x:c>
      <x:c r="E18" s="28" t="str">
        <x:v>着装、身体、情境与观察者共同影响人物知觉。</x:v>
      </x:c>
      <x:c r="F18" s="28" t="str">
        <x:v>https://pmc.ncbi.nlm.nih.gov/articles/PMC10559650/</x:v>
      </x:c>
      <x:c r="G18" s="28" t="str"/>
      <x:c r="H18" s="28" t="str">
        <x:v>06-来源索引与复核说明-v0.1.md</x:v>
      </x:c>
      <x:c r="I18" s="28" t="str">
        <x:v>diyu_source_registry_v0.2</x:v>
      </x:c>
      <x:c r="J18" s="28" t="str">
        <x:v>reference_candidate</x:v>
      </x:c>
    </x:row>
    <x:row r="19">
      <x:c r="A19" s="28" t="str">
        <x:v>PAPER-KIM-2021</x:v>
      </x:c>
      <x:c r="B19" s="28" t="str">
        <x:v>Moisture Vapor Permeability and Thermal Wear Comfort of Woven Fabrics</x:v>
      </x:c>
      <x:c r="C19" s="28" t="str">
        <x:v>external_reference</x:v>
      </x:c>
      <x:c r="D19" s="28" t="str">
        <x:v>peer-reviewed research / 2021</x:v>
      </x:c>
      <x:c r="E19" s="28" t="str">
        <x:v>纱线、织物结构与水蒸气/热舒适表现。</x:v>
      </x:c>
      <x:c r="F19" s="28" t="str">
        <x:v>https://pmc.ncbi.nlm.nih.gov/articles/PMC8539243/</x:v>
      </x:c>
      <x:c r="G19" s="28" t="str"/>
      <x:c r="H19" s="28" t="str">
        <x:v>06-来源索引与复核说明-v0.1.md</x:v>
      </x:c>
      <x:c r="I19" s="28" t="str">
        <x:v>diyu_source_registry_v0.2</x:v>
      </x:c>
      <x:c r="J19" s="28" t="str">
        <x:v>reference_candidate</x:v>
      </x:c>
    </x:row>
    <x:row r="20">
      <x:c r="A20" s="28" t="str">
        <x:v>PAPER-LI-2024</x:v>
      </x:c>
      <x:c r="B20" s="28" t="str">
        <x:v>Tailoring Garment Fit for Personalized Body Image</x:v>
      </x:c>
      <x:c r="C20" s="28" t="str">
        <x:v>external_reference</x:v>
      </x:c>
      <x:c r="D20" s="28" t="str">
        <x:v>peer-reviewed research / 2024</x:v>
      </x:c>
      <x:c r="E20" s="28" t="str">
        <x:v>服装松量对身体尺度知觉的作用随人体指标而变化。</x:v>
      </x:c>
      <x:c r="F20" s="28" t="str">
        <x:v>https://www.mdpi.com/0718-1876/19/2/49</x:v>
      </x:c>
      <x:c r="G20" s="28" t="str"/>
      <x:c r="H20" s="28" t="str">
        <x:v>06-来源索引与复核说明-v0.1.md</x:v>
      </x:c>
      <x:c r="I20" s="28" t="str">
        <x:v>diyu_source_registry_v0.2</x:v>
      </x:c>
      <x:c r="J20" s="28" t="str">
        <x:v>reference_candidate</x:v>
      </x:c>
    </x:row>
    <x:row r="21">
      <x:c r="A21" s="28" t="str">
        <x:v>PAPER-RUDOLF-2021</x:v>
      </x:c>
      <x:c r="B21" s="28" t="str">
        <x:v>Kinematic 3D human-body model for functional clothing design</x:v>
      </x:c>
      <x:c r="C21" s="28" t="str">
        <x:v>external_reference</x:v>
      </x:c>
      <x:c r="D21" s="28" t="str">
        <x:v>peer-reviewed research / 2021</x:v>
      </x:c>
      <x:c r="E21" s="28" t="str">
        <x:v>动态人体、姿势、运动与功能松量。</x:v>
      </x:c>
      <x:c r="F21" s="28" t="str">
        <x:v>https://pmc.ncbi.nlm.nih.gov/articles/PMC8464815/</x:v>
      </x:c>
      <x:c r="G21" s="28" t="str"/>
      <x:c r="H21" s="28" t="str">
        <x:v>06-来源索引与复核说明-v0.1.md</x:v>
      </x:c>
      <x:c r="I21" s="28" t="str">
        <x:v>diyu_source_registry_v0.2</x:v>
      </x:c>
      <x:c r="J21" s="28" t="str">
        <x:v>reference_candidate</x:v>
      </x:c>
    </x:row>
    <x:row r="22">
      <x:c r="A22" s="28" t="str">
        <x:v>PAPER-TEYEME-2020</x:v>
      </x:c>
      <x:c r="B22" s="28" t="str">
        <x:v>Comparative Analysis of Thermophysiological Comfort Properties of Fabrics</x:v>
      </x:c>
      <x:c r="C22" s="28" t="str">
        <x:v>external_reference</x:v>
      </x:c>
      <x:c r="D22" s="28" t="str">
        <x:v>peer-reviewed research / 2020</x:v>
      </x:c>
      <x:c r="E22" s="28" t="str">
        <x:v>空气渗透、吸湿管理、干燥与热舒适表现之间并非单一变量关系。</x:v>
      </x:c>
      <x:c r="F22" s="28" t="str">
        <x:v>https://pmc.ncbi.nlm.nih.gov/articles/PMC7558677/</x:v>
      </x:c>
      <x:c r="G22" s="28" t="str"/>
      <x:c r="H22" s="28" t="str">
        <x:v>06-来源索引与复核说明-v0.1.md</x:v>
      </x:c>
      <x:c r="I22" s="28" t="str">
        <x:v>diyu_source_registry_v0.2</x:v>
      </x:c>
      <x:c r="J22" s="28" t="str">
        <x:v>reference_candidate</x:v>
      </x:c>
    </x:row>
    <x:row r="23">
      <x:c r="A23" s="28" t="str">
        <x:v>PAPER-VESELA-2018</x:v>
      </x:c>
      <x:c r="B23" s="28" t="str">
        <x:v>Local clothing thermal properties of typical office ensembles</x:v>
      </x:c>
      <x:c r="C23" s="28" t="str">
        <x:v>external_reference</x:v>
      </x:c>
      <x:c r="D23" s="28" t="str">
        <x:v>peer-reviewed research / 2018</x:v>
      </x:c>
      <x:c r="E23" s="28" t="str">
        <x:v>松量/空气层与局部服装热性能。</x:v>
      </x:c>
      <x:c r="F23" s="28" t="str">
        <x:v>https://pmc.ncbi.nlm.nih.gov/articles/PMC6244820/</x:v>
      </x:c>
      <x:c r="G23" s="28" t="str"/>
      <x:c r="H23" s="28" t="str">
        <x:v>06-来源索引与复核说明-v0.1.md</x:v>
      </x:c>
      <x:c r="I23" s="28" t="str">
        <x:v>diyu_source_registry_v0.2</x:v>
      </x:c>
      <x:c r="J23" s="28" t="str">
        <x:v>reference_candidate</x:v>
      </x:c>
    </x:row>
    <x:row r="24">
      <x:c r="A24" s="28" t="str">
        <x:v>PAPER-WITZEL-2017</x:v>
      </x:c>
      <x:c r="B24" s="28" t="str">
        <x:v>The dress and individual differences in colour perception</x:v>
      </x:c>
      <x:c r="C24" s="28" t="str">
        <x:v>external_reference</x:v>
      </x:c>
      <x:c r="D24" s="28" t="str">
        <x:v>peer-reviewed research / 2017</x:v>
      </x:c>
      <x:c r="E24" s="28" t="str">
        <x:v>光照解释与颜色知觉存在个体和情境差异。</x:v>
      </x:c>
      <x:c r="F24" s="28" t="str">
        <x:v>https://pmc.ncbi.nlm.nih.gov/articles/PMC5739438/</x:v>
      </x:c>
      <x:c r="G24" s="28" t="str"/>
      <x:c r="H24" s="28" t="str">
        <x:v>06-来源索引与复核说明-v0.1.md</x:v>
      </x:c>
      <x:c r="I24" s="28" t="str">
        <x:v>diyu_source_registry_v0.2</x:v>
      </x:c>
      <x:c r="J24" s="28" t="str">
        <x:v>reference_candidate</x:v>
      </x:c>
    </x:row>
    <x:row r="25">
      <x:c r="A25" s="28" t="str">
        <x:v>PAPER-ZHANG-2024</x:v>
      </x:c>
      <x:c r="B25" s="28" t="str">
        <x:v>Effect of clothing air-gap/ease on microclimate heat transfer</x:v>
      </x:c>
      <x:c r="C25" s="28" t="str">
        <x:v>external_reference</x:v>
      </x:c>
      <x:c r="D25" s="28" t="str">
        <x:v>peer-reviewed research / 2024</x:v>
      </x:c>
      <x:c r="E25" s="28" t="str">
        <x:v>松量、空气层、姿势和热传递的条件关系。</x:v>
      </x:c>
      <x:c r="F25" s="28" t="str">
        <x:v>https://www.sciencedirect.com/science/article/pii/S2214157X24010694</x:v>
      </x:c>
      <x:c r="G25" s="28" t="str"/>
      <x:c r="H25" s="28" t="str">
        <x:v>06-来源索引与复核说明-v0.1.md</x:v>
      </x:c>
      <x:c r="I25" s="28" t="str">
        <x:v>diyu_source_registry_v0.2</x:v>
      </x:c>
      <x:c r="J25" s="28" t="str">
        <x:v>reference_candidate</x:v>
      </x:c>
    </x:row>
    <x:row r="26">
      <x:c r="A26" s="28" t="str">
        <x:v>PRJ-AB-B08</x:v>
      </x:c>
      <x:c r="B26" s="28" t="str">
        <x:v>第二批 B08 可见造型命题与主视觉重音候选</x:v>
      </x:c>
      <x:c r="C26" s="28" t="str">
        <x:v>已交付知识候选</x:v>
      </x:c>
      <x:c r="D26" s="28" t="str">
        <x:v>review_candidate</x:v>
      </x:c>
      <x:c r="E26" s="28" t="str">
        <x:v>单一主视觉重音、商品组合按需、P5 黄金拍法不模板化</x:v>
      </x:c>
      <x:c r="F26" s="28" t="str">
        <x:v>第二批-AB专业核心知识包-v0.1/03-B穿搭与造型知识卡-v0.1.md</x:v>
      </x:c>
      <x:c r="G26" s="28" t="str">
        <x:v>本批补充 B08，不重复 B-CREATIVE-002。</x:v>
      </x:c>
      <x:c r="H26" s="28" t="str">
        <x:v>06-来源索引与复核说明-v0.1.md</x:v>
      </x:c>
      <x:c r="I26" s="28" t="str">
        <x:v>diyu_source_registry_v0.2</x:v>
      </x:c>
      <x:c r="J26" s="28" t="str">
        <x:v>reference_candidate</x:v>
      </x:c>
    </x:row>
    <x:row r="27">
      <x:c r="A27" s="28" t="str">
        <x:v>PRJ-ADR-001</x:v>
      </x:c>
      <x:c r="B27" s="28" t="str">
        <x:v>ADR-001：知识库混合路线</x:v>
      </x:c>
      <x:c r="C27" s="28" t="str">
        <x:v>正式 ADR</x:v>
      </x:c>
      <x:c r="D27" s="28" t="str">
        <x:v>已接受</x:v>
      </x:c>
      <x:c r="E27" s="28" t="str">
        <x:v>业务任务反推、15—25 类轻量语义、不建全行业本体</x:v>
      </x:c>
      <x:c r="F27" s="28" t="str">
        <x:v>ADR-001-知识库混合路线(2).md</x:v>
      </x:c>
      <x:c r="G27" s="28" t="str">
        <x:v>约束本批只形成逻辑卡片候选，不冻结本体类、表或 Agent。</x:v>
      </x:c>
      <x:c r="H27" s="28" t="str">
        <x:v>07-来源索引与复核说明-v0.1.md</x:v>
      </x:c>
      <x:c r="I27" s="28" t="str">
        <x:v>diyu_source_registry_v0.2</x:v>
      </x:c>
      <x:c r="J27" s="28" t="str">
        <x:v>reference_candidate</x:v>
      </x:c>
    </x:row>
    <x:row r="28">
      <x:c r="A28" s="28" t="str">
        <x:v>PRJ-ADR-002</x:v>
      </x:c>
      <x:c r="B28" s="28" t="str">
        <x:v>ADR-002：双应用陈列语义边界</x:v>
      </x:c>
      <x:c r="C28" s="28" t="str">
        <x:v>正式 ADR</x:v>
      </x:c>
      <x:c r="D28" s="28" t="str">
        <x:v>已接受</x:v>
      </x:c>
      <x:c r="E28" s="28" t="str">
        <x:v>P1—P5 内容生产与对内经营陈列分离</x:v>
      </x:c>
      <x:c r="F28" s="28" t="str">
        <x:v>ADR-002-双应用陈列语义边界(2).md</x:v>
      </x:c>
      <x:c r="G28" s="28" t="str">
        <x:v>C/D/F 只服务内容生产与共享能力；不生成经营陈列合同。</x:v>
      </x:c>
      <x:c r="H28" s="28" t="str">
        <x:v>07-来源索引与复核说明-v0.1.md</x:v>
      </x:c>
      <x:c r="I28" s="28" t="str">
        <x:v>diyu_source_registry_v0.2</x:v>
      </x:c>
      <x:c r="J28" s="28" t="str">
        <x:v>reference_candidate</x:v>
      </x:c>
    </x:row>
    <x:row r="29">
      <x:c r="A29" s="28" t="str">
        <x:v>PRJ-ADR-003</x:v>
      </x:c>
      <x:c r="B29" s="28" t="str">
        <x:v>ADR-003：可扩展应用模块与版本兼容</x:v>
      </x:c>
      <x:c r="C29" s="28" t="str">
        <x:v>正式 ADR</x:v>
      </x:c>
      <x:c r="D29" s="28" t="str">
        <x:v>已接受</x:v>
      </x:c>
      <x:c r="E29" s="28" t="str">
        <x:v>稳定核心、模块私有合同、未实现能力不预建</x:v>
      </x:c>
      <x:c r="F29" s="28" t="str">
        <x:v>ADR-003-可扩展应用模块与版本兼容(2).md</x:v>
      </x:c>
      <x:c r="G29" s="28" t="str">
        <x:v>D-032、D-030 未关闭前不预建平台/媒体空模块和万能载荷。</x:v>
      </x:c>
      <x:c r="H29" s="28" t="str">
        <x:v>06-来源索引与复核说明-v0.1.md</x:v>
      </x:c>
      <x:c r="I29" s="28" t="str">
        <x:v>diyu_source_registry_v0.2</x:v>
      </x:c>
      <x:c r="J29" s="28" t="str">
        <x:v>reference_candidate</x:v>
      </x:c>
    </x:row>
    <x:row r="30">
      <x:c r="A30" s="28" t="str">
        <x:v>PRJ-ADR-005</x:v>
      </x:c>
      <x:c r="B30" s="28" t="str">
        <x:v>ADR-005：总部组织性岗位人设与操作人解耦</x:v>
      </x:c>
      <x:c r="C30" s="28" t="str">
        <x:v>正式 ADR</x:v>
      </x:c>
      <x:c r="D30" s="28" t="str">
        <x:v>已接受</x:v>
      </x:c>
      <x:c r="E30" s="28" t="str">
        <x:v>ContentRole、PublishingAccount、实际操作人与系统权限分离</x:v>
      </x:c>
      <x:c r="F30" s="28" t="str">
        <x:v>ADR-005-总部组织性岗位人设与操作人解耦(2).md</x:v>
      </x:c>
      <x:c r="G30" s="28" t="str">
        <x:v>F 模板不是登录身份、权限角色或真人履历。</x:v>
      </x:c>
      <x:c r="H30" s="28" t="str">
        <x:v>07-来源索引与复核说明-v0.1.md</x:v>
      </x:c>
      <x:c r="I30" s="28" t="str">
        <x:v>diyu_source_registry_v0.2</x:v>
      </x:c>
      <x:c r="J30" s="28" t="str">
        <x:v>reference_candidate</x:v>
      </x:c>
    </x:row>
    <x:row r="31">
      <x:c r="A31" s="28" t="str">
        <x:v>PRJ-ADR-006</x:v>
      </x:c>
      <x:c r="B31" s="28" t="str">
        <x:v>ADR-006：赋能而非监管与责任不转移</x:v>
      </x:c>
      <x:c r="C31" s="28" t="str">
        <x:v>正式 ADR</x:v>
      </x:c>
      <x:c r="D31" s="28" t="str">
        <x:v>已接受</x:v>
      </x:c>
      <x:c r="E31" s="28" t="str">
        <x:v>系统辅助创作与防错，不替客户完成事实、授权和最终发布责任</x:v>
      </x:c>
      <x:c r="F31" s="28" t="str">
        <x:v>ADR-006-赋能而非监管与责任不转移(2).md</x:v>
      </x:c>
      <x:c r="G31" s="28" t="str">
        <x:v>D 方法强调充分增益，但不把系统输出冒充现实核验。</x:v>
      </x:c>
      <x:c r="H31" s="28" t="str">
        <x:v>07-来源索引与复核说明-v0.1.md</x:v>
      </x:c>
      <x:c r="I31" s="28" t="str">
        <x:v>diyu_source_registry_v0.2</x:v>
      </x:c>
      <x:c r="J31" s="28" t="str">
        <x:v>reference_candidate</x:v>
      </x:c>
    </x:row>
    <x:row r="32">
      <x:c r="A32" s="28" t="str">
        <x:v>PRJ-ADR-007</x:v>
      </x:c>
      <x:c r="B32" s="28" t="str">
        <x:v>ADR-007：第一版不接 ERP 与人工经营信息非裁决边界</x:v>
      </x:c>
      <x:c r="C32" s="28" t="str">
        <x:v>正式 ADR</x:v>
      </x:c>
      <x:c r="D32" s="28" t="str">
        <x:v>部分被后续裁决取代；当前有效口径见 ADR-014</x:v>
      </x:c>
      <x:c r="E32" s="28" t="str">
        <x:v>人工价格、库存、活动等只作当前任务输入；不判真、不建交易真值。</x:v>
      </x:c>
      <x:c r="F32" s="28" t="str">
        <x:v>ADR-007-外部经营系统可选接入与库存事实降级(2).md</x:v>
      </x:c>
      <x:c r="G32" s="28" t="str">
        <x:v>第一版不接 ERP/POS；未来连接器另行立项。</x:v>
      </x:c>
      <x:c r="H32" s="28" t="str">
        <x:v>手工补充</x:v>
      </x:c>
      <x:c r="I32" s="28" t="str">
        <x:v>diyu_source_registry_v0.2</x:v>
      </x:c>
      <x:c r="J32" s="28" t="str">
        <x:v>reference_candidate</x:v>
      </x:c>
    </x:row>
    <x:row r="33">
      <x:c r="A33" s="28" t="str">
        <x:v>PRJ-ADR-008</x:v>
      </x:c>
      <x:c r="B33" s="28" t="str">
        <x:v>ADR-008：个人私有原始素材隔离与首期禁止共享</x:v>
      </x:c>
      <x:c r="C33" s="28" t="str">
        <x:v>正式 ADR</x:v>
      </x:c>
      <x:c r="D33" s="28" t="str">
        <x:v>已被 ADR-012 部分修订；授权期隔离仍有效</x:v>
      </x:c>
      <x:c r="E33" s="28" t="str">
        <x:v>个人素材只由本人在当前授权期使用；组织和公共素材边界</x:v>
      </x:c>
      <x:c r="F33" s="28" t="str">
        <x:v>ADR-008-个人私有原始素材隔离与首期禁止共享(2).md</x:v>
      </x:c>
      <x:c r="G33" s="28" t="str">
        <x:v>环境声、背景人物和媒体引用不得穿透私人素材权限。</x:v>
      </x:c>
      <x:c r="H33" s="28" t="str">
        <x:v>06-来源索引与复核说明-v0.1.md</x:v>
      </x:c>
      <x:c r="I33" s="28" t="str">
        <x:v>diyu_source_registry_v0.2</x:v>
      </x:c>
      <x:c r="J33" s="28" t="str">
        <x:v>reference_candidate</x:v>
      </x:c>
    </x:row>
    <x:row r="34">
      <x:c r="A34" s="28" t="str">
        <x:v>PRJ-ADR-009</x:v>
      </x:c>
      <x:c r="B34" s="28" t="str">
        <x:v>ADR-009：成长期公共素材发布与创意上下文降级</x:v>
      </x:c>
      <x:c r="C34" s="28" t="str">
        <x:v>正式 ADR</x:v>
      </x:c>
      <x:c r="D34" s="28" t="str">
        <x:v>已接受；第一版不实现公共素材模块</x:v>
      </x:c>
      <x:c r="E34" s="28" t="str">
        <x:v>公共素材仅补创意软槽位，不补事实；媒体与知识分离</x:v>
      </x:c>
      <x:c r="F34" s="28" t="str">
        <x:v>ADR-009-成长期公共素材发布与创意上下文降级(2).md</x:v>
      </x:c>
      <x:c r="G34" s="28" t="str">
        <x:v>媒体来源路径不等于事实权威或实际性。</x:v>
      </x:c>
      <x:c r="H34" s="28" t="str">
        <x:v>06-来源索引与复核说明-v0.1.md</x:v>
      </x:c>
      <x:c r="I34" s="28" t="str">
        <x:v>diyu_source_registry_v0.2</x:v>
      </x:c>
      <x:c r="J34" s="28" t="str">
        <x:v>reference_candidate</x:v>
      </x:c>
    </x:row>
    <x:row r="35">
      <x:c r="A35" s="28" t="str">
        <x:v>PRJ-ADR-010</x:v>
      </x:c>
      <x:c r="B35" s="28" t="str">
        <x:v>ADR-010：全量生成留痕与机器自评回路</x:v>
      </x:c>
      <x:c r="C35" s="28" t="str">
        <x:v>正式 ADR</x:v>
      </x:c>
      <x:c r="D35" s="28" t="str">
        <x:v>已接受</x:v>
      </x:c>
      <x:c r="E35" s="28" t="str">
        <x:v>GenerationRun/ContentVersion/GenerationEvent 留痕、机器自评、反馈信号与知识升级隔离。</x:v>
      </x:c>
      <x:c r="F35" s="28" t="str">
        <x:v>ADR-010-全量生成留痕与机器自评回路(2).md</x:v>
      </x:c>
      <x:c r="G35" s="28" t="str">
        <x:v>不保存隐藏推理，不因未采用判负，不因高表现自动升级知识。</x:v>
      </x:c>
      <x:c r="H35" s="28" t="str">
        <x:v>手工补充</x:v>
      </x:c>
      <x:c r="I35" s="28" t="str">
        <x:v>diyu_source_registry_v0.2</x:v>
      </x:c>
      <x:c r="J35" s="28" t="str">
        <x:v>reference_candidate</x:v>
      </x:c>
    </x:row>
    <x:row r="36">
      <x:c r="A36" s="28" t="str">
        <x:v>PRJ-ADR-011</x:v>
      </x:c>
      <x:c r="B36" s="28" t="str">
        <x:v>ADR-011：发布反馈自愿提交与禁止生成门控</x:v>
      </x:c>
      <x:c r="C36" s="28" t="str">
        <x:v>正式 ADR</x:v>
      </x:c>
      <x:c r="D36" s="28" t="str">
        <x:v>已接受</x:v>
      </x:c>
      <x:c r="E36" s="28" t="str">
        <x:v>评论与反馈可作输入和评测信号，但不得强制回传或自动升级知识</x:v>
      </x:c>
      <x:c r="F36" s="28" t="str">
        <x:v>ADR-011-发布反馈自愿提交与禁止生成门控(2).md</x:v>
      </x:c>
      <x:c r="G36" s="28" t="str">
        <x:v>D05 公开回应方法不建立反馈债务、评论者 CRM 或生成门控。</x:v>
      </x:c>
      <x:c r="H36" s="28" t="str">
        <x:v>07-来源索引与复核说明-v0.1.md</x:v>
      </x:c>
      <x:c r="I36" s="28" t="str">
        <x:v>diyu_source_registry_v0.2</x:v>
      </x:c>
      <x:c r="J36" s="28" t="str">
        <x:v>reference_candidate</x:v>
      </x:c>
    </x:row>
    <x:row r="37">
      <x:c r="A37" s="28" t="str">
        <x:v>PRJ-ADR-012</x:v>
      </x:c>
      <x:c r="B37" s="28" t="str">
        <x:v>ADR-012：授权期个人隔离与退出后所属主体接管</x:v>
      </x:c>
      <x:c r="C37" s="28" t="str">
        <x:v>正式 ADR</x:v>
      </x:c>
      <x:c r="D37" s="28" t="str">
        <x:v>已接受</x:v>
      </x:c>
      <x:c r="E37" s="28" t="str">
        <x:v>个人素材授权期隔离、退出窗口与所属经营主体接管。</x:v>
      </x:c>
      <x:c r="F37" s="28" t="str">
        <x:v>ADR-012-授权期个人隔离与退出后所属主体接管(2).md</x:v>
      </x:c>
      <x:c r="G37" s="28" t="str">
        <x:v>接管区不等于官方素材、公共素材或知识库。</x:v>
      </x:c>
      <x:c r="H37" s="28" t="str">
        <x:v>手工补充</x:v>
      </x:c>
      <x:c r="I37" s="28" t="str">
        <x:v>diyu_source_registry_v0.2</x:v>
      </x:c>
      <x:c r="J37" s="28" t="str">
        <x:v>reference_candidate</x:v>
      </x:c>
    </x:row>
    <x:row r="38">
      <x:c r="A38" s="28" t="str">
        <x:v>PRJ-ADR-013</x:v>
      </x:c>
      <x:c r="B38" s="28" t="str">
        <x:v>ADR-013：五类内容产品正式基线</x:v>
      </x:c>
      <x:c r="C38" s="28" t="str">
        <x:v>正式 ADR</x:v>
      </x:c>
      <x:c r="D38" s="28" t="str">
        <x:v>已接受</x:v>
      </x:c>
      <x:c r="E38" s="28" t="str">
        <x:v>P1—P5 稳定价值、单一主要产品、品牌相关硬门与 P5 商品边界</x:v>
      </x:c>
      <x:c r="F38" s="28" t="str">
        <x:v>ADR-013-五类内容产品正式基线(2).md</x:v>
      </x:c>
      <x:c r="G38" s="28" t="str">
        <x:v>D 方法与 F 模板只能服务主要产品价值，不能新增第六类产品。</x:v>
      </x:c>
      <x:c r="H38" s="28" t="str">
        <x:v>07-来源索引与复核说明-v0.1.md</x:v>
      </x:c>
      <x:c r="I38" s="28" t="str">
        <x:v>diyu_source_registry_v0.2</x:v>
      </x:c>
      <x:c r="J38" s="28" t="str">
        <x:v>reference_candidate</x:v>
      </x:c>
    </x:row>
    <x:row r="39">
      <x:c r="A39" s="28" t="str">
        <x:v>PRJ-ADR-014</x:v>
      </x:c>
      <x:c r="B39" s="28" t="str">
        <x:v>ADR-014：内容生成运行语义与评测分层</x:v>
      </x:c>
      <x:c r="C39" s="28" t="str">
        <x:v>正式 ADR</x:v>
      </x:c>
      <x:c r="D39" s="28" t="str">
        <x:v>已接受</x:v>
      </x:c>
      <x:c r="E39" s="28" t="str">
        <x:v>真实种子充分增益、承重前提忠实、成品优先、单主产品、日常轻检与离线评测</x:v>
      </x:c>
      <x:c r="F39" s="28" t="str">
        <x:v>ADR-014-内容生成运行语义与评测分层(1).md</x:v>
      </x:c>
      <x:c r="G39" s="28" t="str">
        <x:v>D06、D08 及本批验证夹具的主要运行依据。</x:v>
      </x:c>
      <x:c r="H39" s="28" t="str">
        <x:v>07-来源索引与复核说明-v0.1.md</x:v>
      </x:c>
      <x:c r="I39" s="28" t="str">
        <x:v>diyu_source_registry_v0.2</x:v>
      </x:c>
      <x:c r="J39" s="28" t="str">
        <x:v>reference_candidate</x:v>
      </x:c>
    </x:row>
    <x:row r="40">
      <x:c r="A40" s="28" t="str">
        <x:v>PRJ-ADR-018</x:v>
      </x:c>
      <x:c r="B40" s="28" t="str">
        <x:v>ADR-018：首期墙面挂杆文字执行闭环</x:v>
      </x:c>
      <x:c r="C40" s="28" t="str">
        <x:v>project_decision</x:v>
      </x:c>
      <x:c r="D40" s="28" t="str">
        <x:v>用户声明已接受并关闭 D-005 / 2026-07-22</x:v>
      </x:c>
      <x:c r="E40" s="28" t="str">
        <x:v>D-005-B 首期代表性场景、首次/日常输入、文字执行方案、自然反馈局部修订及明确不做边界。</x:v>
      </x:c>
      <x:c r="F40" s="28" t="str">
        <x:v>项目架构决策文件；本包依据用户在当前会话提供的确认摘要，合并项目仓时需绑定实际 ADR-018 路径。</x:v>
      </x:c>
      <x:c r="G40" s="28" t="str">
        <x:v>本包不重建或篡改 ADR-018 正文；若实际文件与本轮确认摘要冲突，应按项目规范优先级处理。</x:v>
      </x:c>
      <x:c r="H40" s="28" t="str">
        <x:v>00-上游裁决同步与第六批边界记录-v0.1.md</x:v>
      </x:c>
      <x:c r="I40" s="28" t="str">
        <x:v>diyu_source_registry_v0.2</x:v>
      </x:c>
      <x:c r="J40" s="28" t="str">
        <x:v>reference_candidate</x:v>
      </x:c>
    </x:row>
    <x:row r="41">
      <x:c r="A41" s="28" t="str">
        <x:v>PRJ-BATCH6-DISPLAY-V01</x:v>
      </x:c>
      <x:c r="B41" s="28" t="str">
        <x:v>第六批 G 零售经营陈列知识与墙面挂杆闭环包 v0.1</x:v>
      </x:c>
      <x:c r="C41" s="28" t="str">
        <x:v>project_delivery</x:v>
      </x:c>
      <x:c r="D41" s="28" t="str">
        <x:v>交付候选 / 2026-07-22</x:v>
      </x:c>
      <x:c r="E41" s="28" t="str">
        <x:v>双应用全库 v0.2 的 G 知识、陈列方法、专属评测、逻辑合同、演示数据和导入验证。</x:v>
      </x:c>
      <x:c r="F41" s="28" t="str">
        <x:v>本交付包</x:v>
      </x:c>
      <x:c r="G41" s="28" t="str">
        <x:v>所有新增资产默认 review_candidate，不自动生产激活。</x:v>
      </x:c>
      <x:c r="H41" s="28" t="str">
        <x:v>01-第六批G零售经营陈列知识与墙面挂杆闭环包-README-v0.1.md</x:v>
      </x:c>
      <x:c r="I41" s="28" t="str">
        <x:v>diyu_source_registry_v0.2</x:v>
      </x:c>
      <x:c r="J41" s="28" t="str">
        <x:v>reference_candidate</x:v>
      </x:c>
    </x:row>
    <x:row r="42">
      <x:c r="A42" s="28" t="str">
        <x:v>PRJ-CDF-D</x:v>
      </x:c>
      <x:c r="B42" s="28" t="str">
        <x:v>第三批 D 创作与叙事方法卡</x:v>
      </x:c>
      <x:c r="C42" s="28" t="str">
        <x:v>已交付方法候选</x:v>
      </x:c>
      <x:c r="D42" s="28" t="str">
        <x:v>review_candidate</x:v>
      </x:c>
      <x:c r="E42" s="28" t="str">
        <x:v>直接判断、条件解释、认知反转、视觉动作、结构节奏与反模板</x:v>
      </x:c>
      <x:c r="F42" s="28" t="str">
        <x:v>第三批-CDF场景创作与角色能力包-v0.1/03-D创作与叙事方法卡-v0.1.md</x:v>
      </x:c>
      <x:c r="G42" s="28" t="str">
        <x:v>E 只负责媒体和制作，不复制 D 的叙事/文案方法。</x:v>
      </x:c>
      <x:c r="H42" s="28" t="str">
        <x:v>06-来源索引与复核说明-v0.1.md</x:v>
      </x:c>
      <x:c r="I42" s="28" t="str">
        <x:v>diyu_source_registry_v0.2</x:v>
      </x:c>
      <x:c r="J42" s="28" t="str">
        <x:v>reference_candidate</x:v>
      </x:c>
    </x:row>
    <x:row r="43">
      <x:c r="A43" s="28" t="str">
        <x:v>PRJ-CDF-DEMAND</x:v>
      </x:c>
      <x:c r="B43" s="28" t="str">
        <x:v>第一批 P1—P5 知识需求追踪矩阵：C/D/F 需求目录</x:v>
      </x:c>
      <x:c r="C43" s="28" t="str">
        <x:v>已对齐建设目录</x:v>
      </x:c>
      <x:c r="D43" s="28" t="str">
        <x:v>用户已同意</x:v>
      </x:c>
      <x:c r="E43" s="28" t="str">
        <x:v>C01—C06、D01—D08、F01—F05</x:v>
      </x:c>
      <x:c r="F43" s="28" t="str">
        <x:v>第一批-领域通用库规则对齐包-v0.1/04-P1-P5知识需求追踪矩阵-v0.1.xlsx</x:v>
      </x:c>
      <x:c r="G43" s="28" t="str">
        <x:v>需求主题是建设目录，不是条目数量承诺。</x:v>
      </x:c>
      <x:c r="H43" s="28" t="str">
        <x:v>07-来源索引与复核说明-v0.1.md</x:v>
      </x:c>
      <x:c r="I43" s="28" t="str">
        <x:v>diyu_source_registry_v0.2</x:v>
      </x:c>
      <x:c r="J43" s="28" t="str">
        <x:v>reference_candidate</x:v>
      </x:c>
    </x:row>
    <x:row r="44">
      <x:c r="A44" s="28" t="str">
        <x:v>PRJ-D005-GOLD-V03</x:v>
      </x:c>
      <x:c r="B44" s="28" t="str">
        <x:v>D-005-D 墙面挂杆黄金闭环候选 V0.3-confirmed</x:v>
      </x:c>
      <x:c r="C44" s="28" t="str">
        <x:v>project_gold_fixture</x:v>
      </x:c>
      <x:c r="D44" s="28" t="str">
        <x:v>用户确认；D-005-D 与 D-005 已关闭 / 2026-07-22</x:v>
      </x:c>
      <x:c r="E44" s="28" t="str">
        <x:v>南城店库存输入—15件首次方案—自然反馈—14件局部修订及最小验收。</x:v>
      </x:c>
      <x:c r="F44" s="28" t="str">
        <x:v>10-墙面挂杆黄金闭环与变形夹具-v0.1.md</x:v>
      </x:c>
      <x:c r="G44" s="28" t="str">
        <x:v>黄金冻结业务性质和结果，不把具体商品顺序、三分区、双面外套或一衣架宽固化为所有品牌通用模板。</x:v>
      </x:c>
      <x:c r="H44" s="28" t="str">
        <x:v>10-墙面挂杆黄金闭环与变形夹具-v0.1.md</x:v>
      </x:c>
      <x:c r="I44" s="28" t="str">
        <x:v>diyu_source_registry_v0.2</x:v>
      </x:c>
      <x:c r="J44" s="28" t="str">
        <x:v>reference_candidate</x:v>
      </x:c>
    </x:row>
    <x:row r="45">
      <x:c r="A45" s="28" t="str">
        <x:v>PRJ-D032-BOUNDARY</x:v>
      </x:c>
      <x:c r="B45" s="28" t="str">
        <x:v>D-032 首期平台、媒体成品与制作条件待决边界</x:v>
      </x:c>
      <x:c r="C45" s="28" t="str">
        <x:v>待决策项及已确认上游原则</x:v>
      </x:c>
      <x:c r="D45" s="28" t="str">
        <x:v>平台/成品包仍待决；自然时长与资源/语法解耦为上游原则</x:v>
      </x:c>
      <x:c r="E45" s="28" t="str">
        <x:v>不设统一时长、制作资源与表现语法分开、跨形式改写保持业务不变量</x:v>
      </x:c>
      <x:c r="F45" s="28" t="str">
        <x:v>待决策清单.md</x:v>
      </x:c>
      <x:c r="G45" s="28" t="str">
        <x:v>本批只建稳定方法，不冻结平台、尺寸、镜头/图片数、字幕安全区、曲库或输出包。</x:v>
      </x:c>
      <x:c r="H45" s="28" t="str">
        <x:v>06-来源索引与复核说明-v0.1.md</x:v>
      </x:c>
      <x:c r="I45" s="28" t="str">
        <x:v>diyu_source_registry_v0.2</x:v>
      </x:c>
      <x:c r="J45" s="28" t="str">
        <x:v>reference_candidate</x:v>
      </x:c>
    </x:row>
    <x:row r="46">
      <x:c r="A46" s="28" t="str">
        <x:v>PRJ-MEMORY</x:v>
      </x:c>
      <x:c r="B46" s="28" t="str">
        <x:v>项目记忆</x:v>
      </x:c>
      <x:c r="C46" s="28" t="str">
        <x:v>项目稳定记忆</x:v>
      </x:c>
      <x:c r="D46" s="28" t="str">
        <x:v>已记录的用户原则与共同确认</x:v>
      </x:c>
      <x:c r="E46" s="28" t="str">
        <x:v>同心圆非实体化、三级角色矩阵、知识默认可用与人设编排、反过度工程化</x:v>
      </x:c>
      <x:c r="F46" s="28" t="str">
        <x:v>项目记忆.md</x:v>
      </x:c>
      <x:c r="G46" s="28" t="str">
        <x:v>用于校验 C 不建人物库、F 不把角色模板变权限、D 不建禁词表。</x:v>
      </x:c>
      <x:c r="H46" s="28" t="str">
        <x:v>07-来源索引与复核说明-v0.1.md</x:v>
      </x:c>
      <x:c r="I46" s="28" t="str">
        <x:v>diyu_source_registry_v0.2</x:v>
      </x:c>
      <x:c r="J46" s="28" t="str">
        <x:v>reference_candidate</x:v>
      </x:c>
    </x:row>
    <x:row r="47">
      <x:c r="A47" s="28" t="str">
        <x:v>PRJ-MOTHER-V03</x:v>
      </x:c>
      <x:c r="B47" s="28" t="str">
        <x:v>笛语第一版五类内容产品合同 V0.3 共享语义母稿</x:v>
      </x:c>
      <x:c r="C47" s="28" t="str">
        <x:v>已确认语义母稿</x:v>
      </x:c>
      <x:c r="D47" s="28" t="str">
        <x:v>P1—P4 已关闭；文件内 P5 状态为历史</x:v>
      </x:c>
      <x:c r="E47" s="28" t="str">
        <x:v>P3 人格反应、真诚与反 AI 口水化；P4 在地关系三关；角色和矩阵边界</x:v>
      </x:c>
      <x:c r="F47" s="28" t="str">
        <x:v>笛语第一版五类内容产品合同讨论稿(3).md</x:v>
      </x:c>
      <x:c r="G47" s="28" t="str">
        <x:v>本批仅引用已确认的 P3/P4 与共用语义；P5 关闭状态以用户最新裁决为准。</x:v>
      </x:c>
      <x:c r="H47" s="28" t="str">
        <x:v>07-来源索引与复核说明-v0.1.md</x:v>
      </x:c>
      <x:c r="I47" s="28" t="str">
        <x:v>diyu_source_registry_v0.2</x:v>
      </x:c>
      <x:c r="J47" s="28" t="str">
        <x:v>reference_candidate</x:v>
      </x:c>
    </x:row>
    <x:row r="48">
      <x:c r="A48" s="28" t="str">
        <x:v>PRJ-P5-CD-20260721</x:v>
      </x:c>
      <x:c r="B48" s="28" t="str">
        <x:v>P5-C 单一可见造型命题成品合同与 P5-D 黄金关闭</x:v>
      </x:c>
      <x:c r="C48" s="28" t="str">
        <x:v>project_reference</x:v>
      </x:c>
      <x:c r="D48" s="28" t="str">
        <x:v>别名；导入时归一到 PRJ-P5-CLOSE-20260721</x:v>
      </x:c>
      <x:c r="E48" s="28" t="str">
        <x:v>一份 P5 围绕一条可见造型命题；真实商品关系按需；画面承重；P5 五类专属验收 5/5。</x:v>
      </x:c>
      <x:c r="F48" s="28" t="str">
        <x:v>项目内引用</x:v>
      </x:c>
      <x:c r="G48" s="28" t="str">
        <x:v>本轮用户明确确认；媒体规格仍由 D-032 决定。</x:v>
      </x:c>
      <x:c r="H48" s="28" t="str">
        <x:v>06-来源索引与复核说明-v0.1.md</x:v>
      </x:c>
      <x:c r="I48" s="28" t="str">
        <x:v>diyu_source_registry_v0.2</x:v>
      </x:c>
      <x:c r="J48" s="28" t="str">
        <x:v>reference_candidate</x:v>
      </x:c>
    </x:row>
    <x:row r="49">
      <x:c r="A49" s="28" t="str">
        <x:v>PRJ-P5-CLOSE-20260721</x:v>
      </x:c>
      <x:c r="B49" s="28" t="str">
        <x:v>P5-C 单一可见造型命题与 P5-D 最小黄金关闭</x:v>
      </x:c>
      <x:c r="C49" s="28" t="str">
        <x:v>用户最新明确裁决 / 项目同步记录</x:v>
      </x:c>
      <x:c r="D49" s="28" t="str">
        <x:v>已确认；正式项目文件待同步</x:v>
      </x:c>
      <x:c r="E49" s="28" t="str">
        <x:v>P5 一条可见造型命题、真实商品关系按需、画面承重、六项单变量检查、五类 5/5。</x:v>
      </x:c>
      <x:c r="F49" s="28" t="str">
        <x:v>第二批-AB专业核心知识包-v0.1/00-上游裁决同步与P5关闭记录-v0.1.md</x:v>
      </x:c>
      <x:c r="G49" s="28" t="str">
        <x:v>具体拍法不是通用模板；平台/媒体规格和物理对象仍后置。</x:v>
      </x:c>
      <x:c r="H49" s="28" t="str">
        <x:v>手工覆盖</x:v>
      </x:c>
      <x:c r="I49" s="28" t="str">
        <x:v>diyu_source_registry_v0.2</x:v>
      </x:c>
      <x:c r="J49" s="28" t="str">
        <x:v>reference_candidate</x:v>
      </x:c>
    </x:row>
    <x:row r="50">
      <x:c r="A50" s="28" t="str">
        <x:v>PRJ-STRATEGY-V1</x:v>
      </x:c>
      <x:c r="B50" s="28" t="str">
        <x:v>服装品牌组织型 IP 内容战略与知识库建设基线 V1.0</x:v>
      </x:c>
      <x:c r="C50" s="28" t="str">
        <x:v>战略基线</x:v>
      </x:c>
      <x:c r="D50" s="28" t="str">
        <x:v>重要参考；不覆盖后续 ADR</x:v>
      </x:c>
      <x:c r="E50" s="28" t="str">
        <x:v>组织型 IP、一核三层五类角色资产、总部/区域/终端角色边界与长期内容主线</x:v>
      </x:c>
      <x:c r="F50" s="28" t="str">
        <x:v>服装品牌组织型IP内容战略与知识库建设基线.docx</x:v>
      </x:c>
      <x:c r="G50" s="28" t="str">
        <x:v>用于 F 角色原型与组织矩阵方向，不把阶段排期、固定账号数或内容比例写成全租户强制规则。</x:v>
      </x:c>
      <x:c r="H50" s="28" t="str">
        <x:v>07-来源索引与复核说明-v0.1.md</x:v>
      </x:c>
      <x:c r="I50" s="28" t="str">
        <x:v>diyu_source_registry_v0.2</x:v>
      </x:c>
      <x:c r="J50" s="28" t="str">
        <x:v>reference_candidate</x:v>
      </x:c>
    </x:row>
    <x:row r="51">
      <x:c r="A51" s="28" t="str">
        <x:v>STD-ASTM-D3776</x:v>
      </x:c>
      <x:c r="B51" s="28" t="str">
        <x:v>ASTM D3776/D3776M-20(2025) — Mass Per Unit Area (Weight) of Fabric</x:v>
      </x:c>
      <x:c r="C51" s="28" t="str">
        <x:v>external_reference</x:v>
      </x:c>
      <x:c r="D51" s="28" t="str">
        <x:v>ASTM International / 2025</x:v>
      </x:c>
      <x:c r="E51" s="28" t="str">
        <x:v>织物单位面积质量的测量概念。</x:v>
      </x:c>
      <x:c r="F51" s="28" t="str">
        <x:v>https://www.astm.org/d3776_d3776m-20.html</x:v>
      </x:c>
      <x:c r="G51" s="28" t="str"/>
      <x:c r="H51" s="28" t="str">
        <x:v>06-来源索引与复核说明-v0.1.md</x:v>
      </x:c>
      <x:c r="I51" s="28" t="str">
        <x:v>diyu_source_registry_v0.2</x:v>
      </x:c>
      <x:c r="J51" s="28" t="str">
        <x:v>reference_candidate</x:v>
      </x:c>
    </x:row>
    <x:row r="52">
      <x:c r="A52" s="28" t="str">
        <x:v>STD-ASTM-D3938</x:v>
      </x:c>
      <x:c r="B52" s="28" t="str">
        <x:v>ASTM D3938-18(2023) — Determining or Confirming Care Instructions</x:v>
      </x:c>
      <x:c r="C52" s="28" t="str">
        <x:v>external_reference</x:v>
      </x:c>
      <x:c r="D52" s="28" t="str">
        <x:v>ASTM International / 2023</x:v>
      </x:c>
      <x:c r="E52" s="28" t="str">
        <x:v>成衣及纺织品洗护说明的确定或确认。</x:v>
      </x:c>
      <x:c r="F52" s="28" t="str">
        <x:v>https://store.astm.org/d3938-18r23.html</x:v>
      </x:c>
      <x:c r="G52" s="28" t="str"/>
      <x:c r="H52" s="28" t="str">
        <x:v>06-来源索引与复核说明-v0.1.md</x:v>
      </x:c>
      <x:c r="I52" s="28" t="str">
        <x:v>diyu_source_registry_v0.2</x:v>
      </x:c>
      <x:c r="J52" s="28" t="str">
        <x:v>reference_candidate</x:v>
      </x:c>
    </x:row>
    <x:row r="53">
      <x:c r="A53" s="28" t="str">
        <x:v>STD-ASTM-D4850</x:v>
      </x:c>
      <x:c r="B53" s="28" t="str">
        <x:v>ASTM D4850-23 — Standard Terminology Relating to Fabrics and Fabric Test Methods</x:v>
      </x:c>
      <x:c r="C53" s="28" t="str">
        <x:v>external_reference</x:v>
      </x:c>
      <x:c r="D53" s="28" t="str">
        <x:v>ASTM International / 2023</x:v>
      </x:c>
      <x:c r="E53" s="28" t="str">
        <x:v>纺织品、织物和试验术语；用于术语层级与结构定义。</x:v>
      </x:c>
      <x:c r="F53" s="28" t="str">
        <x:v>https://store.astm.org/d4850-23.html</x:v>
      </x:c>
      <x:c r="G53" s="28" t="str">
        <x:v>标准全文可能需购买；本包只使用公开范围和术语框架。</x:v>
      </x:c>
      <x:c r="H53" s="28" t="str">
        <x:v>06-来源索引与复核说明-v0.1.md</x:v>
      </x:c>
      <x:c r="I53" s="28" t="str">
        <x:v>diyu_source_registry_v0.2</x:v>
      </x:c>
      <x:c r="J53" s="28" t="str">
        <x:v>reference_candidate</x:v>
      </x:c>
    </x:row>
    <x:row r="54">
      <x:c r="A54" s="28" t="str">
        <x:v>STD-ISO-11092</x:v>
      </x:c>
      <x:c r="B54" s="28" t="str">
        <x:v>ISO 11092:2026 — Measurement of thermal and water-vapour resistance</x:v>
      </x:c>
      <x:c r="C54" s="28" t="str">
        <x:v>external_reference</x:v>
      </x:c>
      <x:c r="D54" s="28" t="str">
        <x:v>ISO / 2026</x:v>
      </x:c>
      <x:c r="E54" s="28" t="str">
        <x:v>热阻与水蒸气阻力作为不同可测性能；标准本身不直接给出具体舒适结论。</x:v>
      </x:c>
      <x:c r="F54" s="28" t="str">
        <x:v>https://www.iso.org/standard/85998.html</x:v>
      </x:c>
      <x:c r="G54" s="28" t="str"/>
      <x:c r="H54" s="28" t="str">
        <x:v>06-来源索引与复核说明-v0.1.md</x:v>
      </x:c>
      <x:c r="I54" s="28" t="str">
        <x:v>diyu_source_registry_v0.2</x:v>
      </x:c>
      <x:c r="J54" s="28" t="str">
        <x:v>reference_candidate</x:v>
      </x:c>
    </x:row>
    <x:row r="55">
      <x:c r="A55" s="28" t="str">
        <x:v>STD-ISO-139</x:v>
      </x:c>
      <x:c r="B55" s="28" t="str">
        <x:v>ISO 139:2005 — Standard atmospheres for conditioning and testing</x:v>
      </x:c>
      <x:c r="C55" s="28" t="str">
        <x:v>external_reference</x:v>
      </x:c>
      <x:c r="D55" s="28" t="str">
        <x:v>ISO / 2005; 2025 confirmed</x:v>
      </x:c>
      <x:c r="E55" s="28" t="str">
        <x:v>纺织物理性能测量对调湿与测试环境的依赖。</x:v>
      </x:c>
      <x:c r="F55" s="28" t="str">
        <x:v>https://www.iso.org/standard/35179.html</x:v>
      </x:c>
      <x:c r="G55" s="28" t="str"/>
      <x:c r="H55" s="28" t="str">
        <x:v>06-来源索引与复核说明-v0.1.md</x:v>
      </x:c>
      <x:c r="I55" s="28" t="str">
        <x:v>diyu_source_registry_v0.2</x:v>
      </x:c>
      <x:c r="J55" s="28" t="str">
        <x:v>reference_candidate</x:v>
      </x:c>
    </x:row>
    <x:row r="56">
      <x:c r="A56" s="28" t="str">
        <x:v>STD-ISO-15487</x:v>
      </x:c>
      <x:c r="B56" s="28" t="str">
        <x:v>ISO 15487:2018 — Assessing appearance after domestic washing and drying</x:v>
      </x:c>
      <x:c r="C56" s="28" t="str">
        <x:v>external_reference</x:v>
      </x:c>
      <x:c r="D56" s="28" t="str">
        <x:v>ISO / 2018</x:v>
      </x:c>
      <x:c r="E56" s="28" t="str">
        <x:v>洗后颜色、起球、毛羽、平整度、缝口、折痕和辅件外观。</x:v>
      </x:c>
      <x:c r="F56" s="28" t="str">
        <x:v>https://www.iso.org/standard/67602.html</x:v>
      </x:c>
      <x:c r="G56" s="28" t="str"/>
      <x:c r="H56" s="28" t="str">
        <x:v>06-来源索引与复核说明-v0.1.md</x:v>
      </x:c>
      <x:c r="I56" s="28" t="str">
        <x:v>diyu_source_registry_v0.2</x:v>
      </x:c>
      <x:c r="J56" s="28" t="str">
        <x:v>reference_candidate</x:v>
      </x:c>
    </x:row>
    <x:row r="57">
      <x:c r="A57" s="28" t="str">
        <x:v>STD-ISO-18890</x:v>
      </x:c>
      <x:c r="B57" s="28" t="str">
        <x:v>ISO 18890:2018 — Standard method of garment measurement</x:v>
      </x:c>
      <x:c r="C57" s="28" t="str">
        <x:v>external_reference</x:v>
      </x:c>
      <x:c r="D57" s="28" t="str">
        <x:v>ISO / 2018</x:v>
      </x:c>
      <x:c r="E57" s="28" t="str">
        <x:v>成衣关键测量点和测量方法。</x:v>
      </x:c>
      <x:c r="F57" s="28" t="str">
        <x:v>https://www.iso.org/standard/63693.html</x:v>
      </x:c>
      <x:c r="G57" s="28" t="str"/>
      <x:c r="H57" s="28" t="str">
        <x:v>06-来源索引与复核说明-v0.1.md</x:v>
      </x:c>
      <x:c r="I57" s="28" t="str">
        <x:v>diyu_source_registry_v0.2</x:v>
      </x:c>
      <x:c r="J57" s="28" t="str">
        <x:v>reference_candidate</x:v>
      </x:c>
    </x:row>
    <x:row r="58">
      <x:c r="A58" s="28" t="str">
        <x:v>STD-ISO-20932-1</x:v>
      </x:c>
      <x:c r="B58" s="28" t="str">
        <x:v>ISO 20932-1:2018 — Determination of the elasticity of fabrics</x:v>
      </x:c>
      <x:c r="C58" s="28" t="str">
        <x:v>external_reference</x:v>
      </x:c>
      <x:c r="D58" s="28" t="str">
        <x:v>ISO / 2018</x:v>
      </x:c>
      <x:c r="E58" s="28" t="str">
        <x:v>织物弹性及相关性能的试验概念。</x:v>
      </x:c>
      <x:c r="F58" s="28" t="str">
        <x:v>https://www.iso.org/standard/69489.html</x:v>
      </x:c>
      <x:c r="G58" s="28" t="str"/>
      <x:c r="H58" s="28" t="str">
        <x:v>06-来源索引与复核说明-v0.1.md</x:v>
      </x:c>
      <x:c r="I58" s="28" t="str">
        <x:v>diyu_source_registry_v0.2</x:v>
      </x:c>
      <x:c r="J58" s="28" t="str">
        <x:v>reference_candidate</x:v>
      </x:c>
    </x:row>
    <x:row r="59">
      <x:c r="A59" s="28" t="str">
        <x:v>STD-ISO-3758</x:v>
      </x:c>
      <x:c r="B59" s="28" t="str">
        <x:v>ISO 3758:2023 — Care labelling code using symbols</x:v>
      </x:c>
      <x:c r="C59" s="28" t="str">
        <x:v>external_reference</x:v>
      </x:c>
      <x:c r="D59" s="28" t="str">
        <x:v>ISO / 2023</x:v>
      </x:c>
      <x:c r="E59" s="28" t="str">
        <x:v>洗护符号及不造成不可逆损伤的最严处理信息。</x:v>
      </x:c>
      <x:c r="F59" s="28" t="str">
        <x:v>https://www.iso.org/standard/74401.html</x:v>
      </x:c>
      <x:c r="G59" s="28" t="str"/>
      <x:c r="H59" s="28" t="str">
        <x:v>06-来源索引与复核说明-v0.1.md</x:v>
      </x:c>
      <x:c r="I59" s="28" t="str">
        <x:v>diyu_source_registry_v0.2</x:v>
      </x:c>
      <x:c r="J59" s="28" t="str">
        <x:v>reference_candidate</x:v>
      </x:c>
    </x:row>
    <x:row r="60">
      <x:c r="A60" s="28" t="str">
        <x:v>STD-ISO-5077</x:v>
      </x:c>
      <x:c r="B60" s="28" t="str">
        <x:v>ISO 5077:2007 — Determination of dimensional change in washing and drying</x:v>
      </x:c>
      <x:c r="C60" s="28" t="str">
        <x:v>external_reference</x:v>
      </x:c>
      <x:c r="D60" s="28" t="str">
        <x:v>ISO / 2007; 2022 confirmed</x:v>
      </x:c>
      <x:c r="E60" s="28" t="str">
        <x:v>洗涤、干燥后的尺寸变化。</x:v>
      </x:c>
      <x:c r="F60" s="28" t="str">
        <x:v>https://www.iso.org/standard/41877.html</x:v>
      </x:c>
      <x:c r="G60" s="28" t="str"/>
      <x:c r="H60" s="28" t="str">
        <x:v>06-来源索引与复核说明-v0.1.md</x:v>
      </x:c>
      <x:c r="I60" s="28" t="str">
        <x:v>diyu_source_registry_v0.2</x:v>
      </x:c>
      <x:c r="J60" s="28" t="str">
        <x:v>reference_candidate</x:v>
      </x:c>
    </x:row>
    <x:row r="61">
      <x:c r="A61" s="28" t="str">
        <x:v>STD-ISO-5084</x:v>
      </x:c>
      <x:c r="B61" s="28" t="str">
        <x:v>ISO 5084:1996 — Determination of thickness of textiles and textile products</x:v>
      </x:c>
      <x:c r="C61" s="28" t="str">
        <x:v>external_reference</x:v>
      </x:c>
      <x:c r="D61" s="28" t="str">
        <x:v>ISO / 1996; 2025 confirmed</x:v>
      </x:c>
      <x:c r="E61" s="28" t="str">
        <x:v>纺织品厚度的测量概念。</x:v>
      </x:c>
      <x:c r="F61" s="28" t="str">
        <x:v>https://www.iso.org/standard/23348.html</x:v>
      </x:c>
      <x:c r="G61" s="28" t="str"/>
      <x:c r="H61" s="28" t="str">
        <x:v>06-来源索引与复核说明-v0.1.md</x:v>
      </x:c>
      <x:c r="I61" s="28" t="str">
        <x:v>diyu_source_registry_v0.2</x:v>
      </x:c>
      <x:c r="J61" s="28" t="str">
        <x:v>reference_candidate</x:v>
      </x:c>
    </x:row>
    <x:row r="62">
      <x:c r="A62" s="28" t="str">
        <x:v>STD-ISO-6330</x:v>
      </x:c>
      <x:c r="B62" s="28" t="str">
        <x:v>ISO 6330:2021 — Domestic washing and drying procedures for textile testing</x:v>
      </x:c>
      <x:c r="C62" s="28" t="str">
        <x:v>external_reference</x:v>
      </x:c>
      <x:c r="D62" s="28" t="str">
        <x:v>ISO / 2021</x:v>
      </x:c>
      <x:c r="E62" s="28" t="str">
        <x:v>不同洗涤和干燥参数会影响测试结果。</x:v>
      </x:c>
      <x:c r="F62" s="28" t="str">
        <x:v>https://www.iso.org/standard/75934.html</x:v>
      </x:c>
      <x:c r="G62" s="28" t="str"/>
      <x:c r="H62" s="28" t="str">
        <x:v>06-来源索引与复核说明-v0.1.md</x:v>
      </x:c>
      <x:c r="I62" s="28" t="str">
        <x:v>diyu_source_registry_v0.2</x:v>
      </x:c>
      <x:c r="J62" s="28" t="str">
        <x:v>reference_candidate</x:v>
      </x:c>
    </x:row>
    <x:row r="63">
      <x:c r="A63" s="28" t="str">
        <x:v>STD-ISO-8559-1</x:v>
      </x:c>
      <x:c r="B63" s="28" t="str">
        <x:v>ISO 8559-1:2017 — Anthropometric definitions for body measurement</x:v>
      </x:c>
      <x:c r="C63" s="28" t="str">
        <x:v>external_reference</x:v>
      </x:c>
      <x:c r="D63" s="28" t="str">
        <x:v>ISO / 2017; 2026 confirmed</x:v>
      </x:c>
      <x:c r="E63" s="28" t="str">
        <x:v>人体测量定义。</x:v>
      </x:c>
      <x:c r="F63" s="28" t="str">
        <x:v>https://www.iso.org/standard/61686.html</x:v>
      </x:c>
      <x:c r="G63" s="28" t="str"/>
      <x:c r="H63" s="28" t="str">
        <x:v>06-来源索引与复核说明-v0.1.md</x:v>
      </x:c>
      <x:c r="I63" s="28" t="str">
        <x:v>diyu_source_registry_v0.2</x:v>
      </x:c>
      <x:c r="J63" s="28" t="str">
        <x:v>reference_candidate</x:v>
      </x:c>
    </x:row>
    <x:row r="64">
      <x:c r="A64" s="28" t="str">
        <x:v>STD-ISO-8559-2</x:v>
      </x:c>
      <x:c r="B64" s="28" t="str">
        <x:v>ISO 8559-2:2025 — Primary and secondary dimension indicators</x:v>
      </x:c>
      <x:c r="C64" s="28" t="str">
        <x:v>external_reference</x:v>
      </x:c>
      <x:c r="D64" s="28" t="str">
        <x:v>ISO / 2025</x:v>
      </x:c>
      <x:c r="E64" s="28" t="str">
        <x:v>服装号型尺寸指标与人体尺寸关系。</x:v>
      </x:c>
      <x:c r="F64" s="28" t="str">
        <x:v>https://www.iso.org/standard/85590.html</x:v>
      </x:c>
      <x:c r="G64" s="28" t="str"/>
      <x:c r="H64" s="28" t="str">
        <x:v>06-来源索引与复核说明-v0.1.md</x:v>
      </x:c>
      <x:c r="I64" s="28" t="str">
        <x:v>diyu_source_registry_v0.2</x:v>
      </x:c>
      <x:c r="J64" s="28" t="str">
        <x:v>reference_candidate</x:v>
      </x:c>
    </x:row>
    <x:row r="65">
      <x:c r="A65" s="28" t="str">
        <x:v>STD-ISO-9237</x:v>
      </x:c>
      <x:c r="B65" s="28" t="str">
        <x:v>ISO 9237:1995 — Determination of the permeability of fabrics to air</x:v>
      </x:c>
      <x:c r="C65" s="28" t="str">
        <x:v>external_reference</x:v>
      </x:c>
      <x:c r="D65" s="28" t="str">
        <x:v>ISO / 1995; 2023 confirmed</x:v>
      </x:c>
      <x:c r="E65" s="28" t="str">
        <x:v>织物空气渗透率的测量概念。</x:v>
      </x:c>
      <x:c r="F65" s="28" t="str">
        <x:v>https://www.iso.org/standard/16869.html</x:v>
      </x:c>
      <x:c r="G65" s="28" t="str"/>
      <x:c r="H65" s="28" t="str">
        <x:v>06-来源索引与复核说明-v0.1.md</x:v>
      </x:c>
      <x:c r="I65" s="28" t="str">
        <x:v>diyu_source_registry_v0.2</x:v>
      </x:c>
      <x:c r="J65" s="28" t="str">
        <x:v>reference_candidate</x:v>
      </x:c>
    </x:row>
  </x:sheetData>
  <x:mergeCells>
    <x:mergeCell ref="A1:J1"/>
  </x:mergeCells>
  <x:pageMargins left="0.7" right="0.7" top="0.75" bottom="0.75" header="0.3" footer="0.3"/>
  <x:tableParts count="1">
    <x:tablePart xmlns:r="http://schemas.openxmlformats.org/officeDocument/2006/relationships" r:id="R5f210ddd5d7f4961"/>
  </x:tableParts>
</x:worksheet>
</file>

<file path=xl/worksheets/sheet9.xml><?xml version="1.0" encoding="utf-8"?>
<x:worksheet xmlns:x="http://schemas.openxmlformats.org/spreadsheetml/2006/main">
  <x:sheetFormatPr defaultRowHeight="15"/>
  <x:cols>
    <x:col min="1" max="1" width="22" hidden="0" customWidth="1"/>
    <x:col min="2" max="2" width="32" hidden="0" customWidth="1"/>
    <x:col min="3" max="3" width="14" hidden="0" customWidth="1"/>
    <x:col min="4" max="4" width="38" hidden="0" customWidth="1"/>
    <x:col min="5" max="5" width="46" hidden="0" customWidth="1"/>
  </x:cols>
  <x:sheetData>
    <x:row r="1" ht="30" customHeight="1">
      <x:c r="A1" s="8" t="str">
        <x:v>首次条件档案与日常输入逻辑合同</x:v>
      </x:c>
      <x:c r="B1" s="8"/>
      <x:c r="C1" s="8"/>
      <x:c r="D1" s="8"/>
      <x:c r="E1" s="8"/>
    </x:row>
    <x:row r="3" ht="26" customHeight="1">
      <x:c r="A3" s="24" t="str">
        <x:v>scope</x:v>
      </x:c>
      <x:c r="B3" s="24" t="str">
        <x:v>field/semantic</x:v>
      </x:c>
      <x:c r="C3" s="24" t="str">
        <x:v>required</x:v>
      </x:c>
      <x:c r="D3" s="24" t="str">
        <x:v>meaning</x:v>
      </x:c>
      <x:c r="E3" s="24" t="str">
        <x:v>boundary</x:v>
      </x:c>
    </x:row>
    <x:row r="4">
      <x:c r="A4" s="28" t="str">
        <x:v>首次固定档案</x:v>
      </x:c>
      <x:c r="B4" s="28" t="str">
        <x:v>store_ref</x:v>
      </x:c>
      <x:c r="C4" s="28" t="str">
        <x:v>必须</x:v>
      </x:c>
      <x:c r="D4" s="28" t="str">
        <x:v>指定门店</x:v>
      </x:c>
      <x:c r="E4" s="28" t="str">
        <x:v>一次记录；门店变化时更新</x:v>
      </x:c>
    </x:row>
    <x:row r="5">
      <x:c r="A5" s="28" t="str">
        <x:v>首次固定档案</x:v>
      </x:c>
      <x:c r="B5" s="28" t="str">
        <x:v>display_zone_ref</x:v>
      </x:c>
      <x:c r="C5" s="28" t="str">
        <x:v>必须</x:v>
      </x:c>
      <x:c r="D5" s="28" t="str">
        <x:v>卖场墙面</x:v>
      </x:c>
      <x:c r="E5" s="28" t="str">
        <x:v>不与橱窗/入口混用</x:v>
      </x:c>
    </x:row>
    <x:row r="6">
      <x:c r="A6" s="28" t="str">
        <x:v>首次固定档案</x:v>
      </x:c>
      <x:c r="B6" s="28" t="str">
        <x:v>display_carrier_ref</x:v>
      </x:c>
      <x:c r="C6" s="28" t="str">
        <x:v>必须</x:v>
      </x:c>
      <x:c r="D6" s="28" t="str">
        <x:v>一组挂杆</x:v>
      </x:c>
      <x:c r="E6" s="28" t="str">
        <x:v>不与模特/中岛混用</x:v>
      </x:c>
    </x:row>
    <x:row r="7">
      <x:c r="A7" s="28" t="str">
        <x:v>首次固定档案</x:v>
      </x:c>
      <x:c r="B7" s="28" t="str">
        <x:v>upper_lower_structure</x:v>
      </x:c>
      <x:c r="C7" s="28" t="str">
        <x:v>必须</x:v>
      </x:c>
      <x:c r="D7" s="28" t="str">
        <x:v>上杆/下杆/固定正挂</x:v>
      </x:c>
      <x:c r="E7" s="28" t="str">
        <x:v>自然说明即可</x:v>
      </x:c>
    </x:row>
    <x:row r="8">
      <x:c r="A8" s="28" t="str">
        <x:v>首次固定档案</x:v>
      </x:c>
      <x:c r="B8" s="28" t="str">
        <x:v>capacity_rules</x:v>
      </x:c>
      <x:c r="C8" s="28" t="str">
        <x:v>必须</x:v>
      </x:c>
      <x:c r="D8" s="28" t="str">
        <x:v>分层大致容量</x:v>
      </x:c>
      <x:c r="E8" s="28" t="str">
        <x:v>不要求毫米级</x:v>
      </x:c>
    </x:row>
    <x:row r="9">
      <x:c r="A9" s="28" t="str">
        <x:v>首次固定档案</x:v>
      </x:c>
      <x:c r="B9" s="28" t="str">
        <x:v>primary_approach_direction</x:v>
      </x:c>
      <x:c r="C9" s="28" t="str">
        <x:v>必须</x:v>
      </x:c>
      <x:c r="D9" s="28" t="str">
        <x:v>主要来客方向</x:v>
      </x:c>
      <x:c r="E9" s="28" t="str">
        <x:v>变化时更新</x:v>
      </x:c>
    </x:row>
    <x:row r="10">
      <x:c r="A10" s="28" t="str">
        <x:v>首次固定档案</x:v>
      </x:c>
      <x:c r="B10" s="28" t="str">
        <x:v>main_sight_band</x:v>
      </x:c>
      <x:c r="C10" s="28" t="str">
        <x:v>可选</x:v>
      </x:c>
      <x:c r="D10" s="28" t="str">
        <x:v>已知视线带</x:v>
      </x:c>
      <x:c r="E10" s="28" t="str">
        <x:v>南城店120—160cm仅为演示门店属性</x:v>
      </x:c>
    </x:row>
    <x:row r="11">
      <x:c r="A11" s="28" t="str">
        <x:v>首次固定档案</x:v>
      </x:c>
      <x:c r="B11" s="28" t="str">
        <x:v>hard_constraints</x:v>
      </x:c>
      <x:c r="C11" s="28" t="str">
        <x:v>必须</x:v>
      </x:c>
      <x:c r="D11" s="28" t="str">
        <x:v>不可移动/不可遮挡/抽取限制</x:v>
      </x:c>
      <x:c r="E11" s="28" t="str">
        <x:v>只记录真实条件</x:v>
      </x:c>
    </x:row>
    <x:row r="12">
      <x:c r="A12" s="28" t="str">
        <x:v>日常任务</x:v>
      </x:c>
      <x:c r="B12" s="28" t="str">
        <x:v>inventory_lines</x:v>
      </x:c>
      <x:c r="C12" s="28" t="str">
        <x:v>必须</x:v>
      </x:c>
      <x:c r="D12" s="28" t="str">
        <x:v>product_ref + quantity</x:v>
      </x:c>
      <x:c r="E12" s="28" t="str">
        <x:v>用户自报、当前任务、不核验</x:v>
      </x:c>
    </x:row>
    <x:row r="13">
      <x:c r="A13" s="28" t="str">
        <x:v>日常任务</x:v>
      </x:c>
      <x:c r="B13" s="28" t="str">
        <x:v>special_goal</x:v>
      </x:c>
      <x:c r="C13" s="28" t="str">
        <x:v>可选</x:v>
      </x:c>
      <x:c r="D13" s="28" t="str">
        <x:v>本次主推/主题/密度倾向</x:v>
      </x:c>
      <x:c r="E13" s="28" t="str">
        <x:v>未说明则调用品牌标准</x:v>
      </x:c>
    </x:row>
    <x:row r="14">
      <x:c r="A14" s="28" t="str">
        <x:v>日常任务</x:v>
      </x:c>
      <x:c r="B14" s="28" t="str">
        <x:v>temporary_constraints</x:v>
      </x:c>
      <x:c r="C14" s="28" t="str">
        <x:v>可选</x:v>
      </x:c>
      <x:c r="D14" s="28" t="str">
        <x:v>施工/临时不可用/动线变化</x:v>
      </x:c>
      <x:c r="E14" s="28" t="str">
        <x:v>不自动写成永久档案</x:v>
      </x:c>
    </x:row>
    <x:row r="15">
      <x:c r="A15" s="28" t="str">
        <x:v>反馈</x:v>
      </x:c>
      <x:c r="B15" s="28" t="str">
        <x:v>original_text</x:v>
      </x:c>
      <x:c r="C15" s="28" t="str">
        <x:v>必须</x:v>
      </x:c>
      <x:c r="D15" s="28" t="str">
        <x:v>用户自然反馈原文</x:v>
      </x:c>
      <x:c r="E15" s="28" t="str">
        <x:v>不改写为巡检</x:v>
      </x:c>
    </x:row>
    <x:row r="16">
      <x:c r="A16" s="28" t="str">
        <x:v>反馈</x:v>
      </x:c>
      <x:c r="B16" s="28" t="str">
        <x:v>changed_conditions</x:v>
      </x:c>
      <x:c r="C16" s="28" t="str">
        <x:v>系统提取</x:v>
      </x:c>
      <x:c r="D16" s="28" t="str">
        <x:v>影响商品/区域/空间条件</x:v>
      </x:c>
      <x:c r="E16" s="28" t="str">
        <x:v>用户可纠正</x:v>
      </x:c>
    </x:row>
    <x:row r="17">
      <x:c r="A17" s="28" t="str">
        <x:v>反馈</x:v>
      </x:c>
      <x:c r="B17" s="28" t="str">
        <x:v>explicitly_unchanged</x:v>
      </x:c>
      <x:c r="C17" s="28" t="str">
        <x:v>按需</x:v>
      </x:c>
      <x:c r="D17" s="28" t="str">
        <x:v>其他区域、动线、库存未变</x:v>
      </x:c>
      <x:c r="E17" s="28" t="str">
        <x:v>用于局部继承</x:v>
      </x:c>
    </x:row>
  </x:sheetData>
  <x:mergeCells>
    <x:mergeCell ref="A1:E1"/>
  </x:mergeCells>
  <x:pageMargins left="0.7" right="0.7" top="0.75" bottom="0.75" header="0.3" footer="0.3"/>
  <x:tableParts count="1">
    <x:tablePart xmlns:r="http://schemas.openxmlformats.org/officeDocument/2006/relationships" r:id="R7fb234aaf00b4d66"/>
  </x:tableParts>
</x:worksheet>
</file>

<file path=xl/worksheets/sheet10.xml><?xml version="1.0" encoding="utf-8"?>
<x:worksheet xmlns:x="http://schemas.openxmlformats.org/spreadsheetml/2006/main">
  <x:sheetFormatPr defaultRowHeight="15"/>
  <x:cols>
    <x:col min="1" max="1" width="20" hidden="0" customWidth="1"/>
    <x:col min="2" max="2" width="28" hidden="0" customWidth="1"/>
    <x:col min="3" max="3" width="14" hidden="0" customWidth="1"/>
    <x:col min="4" max="4" width="14" hidden="0" customWidth="1"/>
    <x:col min="5" max="5" width="18" hidden="0" customWidth="1"/>
    <x:col min="6" max="6" width="46" hidden="0" customWidth="1"/>
  </x:cols>
  <x:sheetData>
    <x:row r="1" ht="30" customHeight="1">
      <x:c r="A1" s="8" t="str">
        <x:v>南城店墙面挂杆黄金方案商品核对</x:v>
      </x:c>
      <x:c r="B1" s="8"/>
      <x:c r="C1" s="8"/>
      <x:c r="D1" s="8"/>
      <x:c r="E1" s="8"/>
      <x:c r="F1" s="8"/>
    </x:row>
    <x:row r="3" ht="26" customHeight="1">
      <x:c r="A3" s="24" t="str">
        <x:v>product_ref</x:v>
      </x:c>
      <x:c r="B3" s="24" t="str">
        <x:v>product</x:v>
      </x:c>
      <x:c r="C3" s="24" t="str">
        <x:v>input_qty</x:v>
      </x:c>
      <x:c r="D3" s="24" t="str">
        <x:v>initial_used</x:v>
      </x:c>
      <x:c r="E3" s="24" t="str">
        <x:v>initial_unselected</x:v>
      </x:c>
      <x:c r="F3" s="24" t="str">
        <x:v>initial_role</x:v>
      </x:c>
    </x:row>
    <x:row r="4">
      <x:c r="A4" s="28" t="str">
        <x:v>ZX-C218</x:v>
      </x:c>
      <x:c r="B4" s="28" t="str">
        <x:v>双面短外套</x:v>
      </x:c>
      <x:c r="C4" s="28" t="str">
        <x:v>3</x:v>
      </x:c>
      <x:c r="D4" s="28" t="str">
        <x:v>2</x:v>
      </x:c>
      <x:c r="E4" s="28" t="str">
        <x:v>1</x:v>
      </x:c>
      <x:c r="F4" s="28" t="str">
        <x:v>A主正挂深绿细格 + C回应正挂炭灰</x:v>
      </x:c>
    </x:row>
    <x:row r="5">
      <x:c r="A5" s="28" t="str">
        <x:v>ZX-S104</x:v>
      </x:c>
      <x:c r="B5" s="28" t="str">
        <x:v>暖白衬衫</x:v>
      </x:c>
      <x:c r="C5" s="28" t="str">
        <x:v>3</x:v>
      </x:c>
      <x:c r="D5" s="28" t="str">
        <x:v>2</x:v>
      </x:c>
      <x:c r="E5" s="28" t="str">
        <x:v>1</x:v>
      </x:c>
      <x:c r="F5" s="28" t="str">
        <x:v>B区上杆基础</x:v>
      </x:c>
    </x:row>
    <x:row r="6">
      <x:c r="A6" s="28" t="str">
        <x:v>ZX-K126</x:v>
      </x:c>
      <x:c r="B6" s="28" t="str">
        <x:v>燕麦薄针织</x:v>
      </x:c>
      <x:c r="C6" s="28" t="str">
        <x:v>4</x:v>
      </x:c>
      <x:c r="D6" s="28" t="str">
        <x:v>2</x:v>
      </x:c>
      <x:c r="E6" s="28" t="str">
        <x:v>2</x:v>
      </x:c>
      <x:c r="F6" s="28" t="str">
        <x:v>B区上杆基础/后备</x:v>
      </x:c>
    </x:row>
    <x:row r="7">
      <x:c r="A7" s="28" t="str">
        <x:v>ZX-P211</x:v>
      </x:c>
      <x:c r="B7" s="28" t="str">
        <x:v>炭灰直筒裤</x:v>
      </x:c>
      <x:c r="C7" s="28" t="str">
        <x:v>3</x:v>
      </x:c>
      <x:c r="D7" s="28" t="str">
        <x:v>3</x:v>
      </x:c>
      <x:c r="E7" s="28" t="str">
        <x:v>0</x:v>
      </x:c>
      <x:c r="F7" s="28" t="str">
        <x:v>A区下杆2 + C区下杆1</x:v>
      </x:c>
    </x:row>
    <x:row r="8">
      <x:c r="A8" s="28" t="str">
        <x:v>ZX-V113</x:v>
      </x:c>
      <x:c r="B8" s="28" t="str">
        <x:v>炭灰短马甲</x:v>
      </x:c>
      <x:c r="C8" s="28" t="str">
        <x:v>3</x:v>
      </x:c>
      <x:c r="D8" s="28" t="str">
        <x:v>2</x:v>
      </x:c>
      <x:c r="E8" s="28" t="str">
        <x:v>1</x:v>
      </x:c>
      <x:c r="F8" s="28" t="str">
        <x:v>C区上杆；修订后1件</x:v>
      </x:c>
    </x:row>
    <x:row r="9">
      <x:c r="A9" s="28" t="str">
        <x:v>ZX-Q117</x:v>
      </x:c>
      <x:c r="B9" s="28" t="str">
        <x:v>深橄榄中长裙</x:v>
      </x:c>
      <x:c r="C9" s="28" t="str">
        <x:v>4</x:v>
      </x:c>
      <x:c r="D9" s="28" t="str">
        <x:v>4</x:v>
      </x:c>
      <x:c r="E9" s="28" t="str">
        <x:v>0</x:v>
      </x:c>
      <x:c r="F9" s="28" t="str">
        <x:v>B区下杆2 + C区下杆2</x:v>
      </x:c>
    </x:row>
    <x:row r="12">
      <x:c r="A12" s="40" t="str">
        <x:v>反馈后局部修订</x:v>
      </x:c>
      <x:c r="B12" s="40"/>
      <x:c r="C12" s="40"/>
      <x:c r="D12" s="40"/>
      <x:c r="E12" s="40"/>
      <x:c r="F12" s="40"/>
    </x:row>
    <x:row r="13">
      <x:c r="A13" s="30" t="str">
        <x:v>受影响区域</x:v>
      </x:c>
      <x:c r="B13" s="28" t="str">
        <x:v>C区上杆</x:v>
      </x:c>
      <x:c r="C13" s="28" t="str"/>
      <x:c r="D13" s="30" t="str">
        <x:v>变化</x:v>
      </x:c>
      <x:c r="E13" s="28" t="str">
        <x:v>ZX-V113 2→1</x:v>
      </x:c>
      <x:c r="F13" s="28" t="str"/>
      <x:c r="G13" t="str"/>
    </x:row>
    <x:row r="14">
      <x:c r="A14" s="30" t="str">
        <x:v>不变</x:v>
      </x:c>
      <x:c r="B14" s="28" t="str">
        <x:v>A/B区、全部下杆、主焦点、动线、其他库存</x:v>
      </x:c>
      <x:c r="C14" s="28" t="str"/>
      <x:c r="D14" s="30" t="str">
        <x:v>总件数</x:v>
      </x:c>
      <x:c r="E14" s="28" t="str">
        <x:v>15→14</x:v>
      </x:c>
      <x:c r="F14" s="28" t="str"/>
      <x:c r="G14" t="str"/>
    </x:row>
    <x:row r="15">
      <x:c r="A15" s="30" t="str">
        <x:v>执行动作</x:v>
      </x:c>
      <x:c r="B15" s="28" t="str">
        <x:v>取下靠近正挂的一件马甲；剩余一件重新居中并留约一衣架宽</x:v>
      </x:c>
      <x:c r="C15" s="28" t="str"/>
      <x:c r="D15" s="30" t="str">
        <x:v>现实口径</x:v>
      </x:c>
      <x:c r="E15" s="28" t="str">
        <x:v>用户反馈，不是巡检</x:v>
      </x:c>
      <x:c r="F15" s="28" t="str"/>
      <x:c r="G15" t="str"/>
    </x:row>
    <x:row r="16">
      <x:c r="A16" s="30" t="str">
        <x:v>禁止</x:v>
      </x:c>
      <x:c r="B16" s="28" t="str">
        <x:v>不重排整墙；不补货凑满；不生成评分或整改</x:v>
      </x:c>
      <x:c r="C16" s="28" t="str"/>
      <x:c r="D16" s="30" t="str">
        <x:v>继承</x:v>
      </x:c>
      <x:c r="E16" s="28" t="str">
        <x:v>未受影响部分保持</x:v>
      </x:c>
      <x:c r="F16" s="28" t="str"/>
      <x:c r="G16" t="str"/>
    </x:row>
  </x:sheetData>
  <x:mergeCells>
    <x:mergeCell ref="A1:F1"/>
    <x:mergeCell ref="A12:F12"/>
  </x:mergeCells>
  <x:pageMargins left="0.7" right="0.7" top="0.75" bottom="0.75" header="0.3" footer="0.3"/>
  <x:tableParts count="1">
    <x:tablePart xmlns:r="http://schemas.openxmlformats.org/officeDocument/2006/relationships" r:id="R3f878e7ae7d240d9"/>
  </x:tableParts>
</x:worksheet>
</file>

<file path=xl/worksheets/sheet11.xml><?xml version="1.0" encoding="utf-8"?>
<x:worksheet xmlns:x="http://schemas.openxmlformats.org/spreadsheetml/2006/main">
  <x:sheetFormatPr defaultRowHeight="15"/>
  <x:cols>
    <x:col min="1" max="1" width="24" hidden="0" customWidth="1"/>
    <x:col min="2" max="2" width="24" hidden="0" customWidth="1"/>
    <x:col min="3" max="3" width="34" hidden="0" customWidth="1"/>
    <x:col min="4" max="4" width="16" hidden="0" customWidth="1"/>
    <x:col min="5" max="5" width="44" hidden="0" customWidth="1"/>
  </x:cols>
  <x:sheetData>
    <x:row r="1" ht="30" customHeight="1">
      <x:c r="A1" s="8" t="str">
        <x:v>双应用知识与能力覆盖</x:v>
      </x:c>
      <x:c r="B1" s="8"/>
      <x:c r="C1" s="8"/>
      <x:c r="D1" s="8"/>
      <x:c r="E1" s="8"/>
    </x:row>
    <x:row r="3" ht="26" customHeight="1">
      <x:c r="A3" s="24" t="str">
        <x:v>category</x:v>
      </x:c>
      <x:c r="B3" s="24" t="str">
        <x:v>ownership</x:v>
      </x:c>
      <x:c r="C3" s="24" t="str">
        <x:v>consumers</x:v>
      </x:c>
      <x:c r="D3" s="24" t="str">
        <x:v>status</x:v>
      </x:c>
      <x:c r="E3" s="24" t="str">
        <x:v>boundary</x:v>
      </x:c>
    </x:row>
    <x:row r="4">
      <x:c r="A4" s="28" t="str">
        <x:v>A 商品与穿着知识</x:v>
      </x:c>
      <x:c r="B4" s="28" t="str">
        <x:v>共享核心</x:v>
      </x:c>
      <x:c r="C4" s="28" t="str">
        <x:v>P1/P2/P5；陈列按需</x:v>
      </x:c>
      <x:c r="D4" s="28" t="str">
        <x:v>已建</x:v>
      </x:c>
      <x:c r="E4" s="28" t="str">
        <x:v>不含具体商品事实</x:v>
      </x:c>
    </x:row>
    <x:row r="5">
      <x:c r="A5" s="28" t="str">
        <x:v>B 穿搭与造型知识</x:v>
      </x:c>
      <x:c r="B5" s="28" t="str">
        <x:v>共享核心</x:v>
      </x:c>
      <x:c r="C5" s="28" t="str">
        <x:v>P1/P5；陈列按需</x:v>
      </x:c>
      <x:c r="D5" s="28" t="str">
        <x:v>已建</x:v>
      </x:c>
      <x:c r="E5" s="28" t="str">
        <x:v>不等于经营陈列合同</x:v>
      </x:c>
    </x:row>
    <x:row r="6">
      <x:c r="A6" s="28" t="str">
        <x:v>C 场景知识</x:v>
      </x:c>
      <x:c r="B6" s="28" t="str">
        <x:v>内容侧为主</x:v>
      </x:c>
      <x:c r="C6" s="28" t="str">
        <x:v>P3/P4</x:v>
      </x:c>
      <x:c r="D6" s="28" t="str">
        <x:v>已建</x:v>
      </x:c>
      <x:c r="E6" s="28" t="str">
        <x:v>不建顾客画像</x:v>
      </x:c>
    </x:row>
    <x:row r="7">
      <x:c r="A7" s="28" t="str">
        <x:v>D 内容生成方法</x:v>
      </x:c>
      <x:c r="B7" s="28" t="str">
        <x:v>content-production</x:v>
      </x:c>
      <x:c r="C7" s="28" t="str">
        <x:v>P1—P5</x:v>
      </x:c>
      <x:c r="D7" s="28" t="str">
        <x:v>已建</x:v>
      </x:c>
      <x:c r="E7" s="28" t="str">
        <x:v>不用于陈列评分</x:v>
      </x:c>
    </x:row>
    <x:row r="8">
      <x:c r="A8" s="28" t="str">
        <x:v>E 媒介制作语法</x:v>
      </x:c>
      <x:c r="B8" s="28" t="str">
        <x:v>content-production</x:v>
      </x:c>
      <x:c r="C8" s="28" t="str">
        <x:v>P1—P5</x:v>
      </x:c>
      <x:c r="D8" s="28" t="str">
        <x:v>已建</x:v>
      </x:c>
      <x:c r="E8" s="28" t="str">
        <x:v>平台规格待D-032</x:v>
      </x:c>
    </x:row>
    <x:row r="9">
      <x:c r="A9" s="28" t="str">
        <x:v>F 行业角色模板</x:v>
      </x:c>
      <x:c r="B9" s="28" t="str">
        <x:v>内容侧冷启动</x:v>
      </x:c>
      <x:c r="C9" s="28" t="str">
        <x:v>内容账号/角色</x:v>
      </x:c>
      <x:c r="D9" s="28" t="str">
        <x:v>已建</x:v>
      </x:c>
      <x:c r="E9" s="28" t="str">
        <x:v>对内陈列不套IP人设</x:v>
      </x:c>
    </x:row>
    <x:row r="10">
      <x:c r="A10" s="28" t="str">
        <x:v>G 零售经营陈列</x:v>
      </x:c>
      <x:c r="B10" s="28" t="str">
        <x:v>display-merchandising</x:v>
      </x:c>
      <x:c r="C10" s="28" t="str">
        <x:v>DM01_wall_hanging_rail_execution</x:v>
      </x:c>
      <x:c r="D10" s="28" t="str">
        <x:v>本批新增</x:v>
      </x:c>
      <x:c r="E10" s="28" t="str">
        <x:v>只覆盖墙面挂杆</x:v>
      </x:c>
    </x:row>
    <x:row r="11">
      <x:c r="A11" s="28" t="str">
        <x:v>H 评测规则</x:v>
      </x:c>
      <x:c r="B11" s="28" t="str">
        <x:v>双应用分合同</x:v>
      </x:c>
      <x:c r="C11" s="28" t="str">
        <x:v>P1—P5 + DM01</x:v>
      </x:c>
      <x:c r="D11" s="28" t="str">
        <x:v>已扩展</x:v>
      </x:c>
      <x:c r="E11" s="28" t="str">
        <x:v>陈列规则独立于内容指标</x:v>
      </x:c>
    </x:row>
  </x:sheetData>
  <x:mergeCells>
    <x:mergeCell ref="A1:E1"/>
  </x:mergeCells>
  <x:pageMargins left="0.7" right="0.7" top="0.75" bottom="0.75" header="0.3" footer="0.3"/>
  <x:tableParts count="1">
    <x:tablePart xmlns:r="http://schemas.openxmlformats.org/officeDocument/2006/relationships" r:id="R578ed0f8d618431c"/>
  </x:tableParts>
</x:worksheet>
</file>

<file path=xl/worksheets/sheet12.xml><?xml version="1.0" encoding="utf-8"?>
<x:worksheet xmlns:x="http://schemas.openxmlformats.org/spreadsheetml/2006/main">
  <x:sheetFormatPr defaultRowHeight="15"/>
  <x:cols>
    <x:col min="1" max="1" width="36" hidden="0" customWidth="1"/>
    <x:col min="2" max="2" width="14" hidden="0" customWidth="1"/>
    <x:col min="3" max="3" width="14" hidden="0" customWidth="1"/>
    <x:col min="4" max="4" width="12" hidden="0" customWidth="1"/>
    <x:col min="5" max="5" width="70" hidden="0" customWidth="1"/>
  </x:cols>
  <x:sheetData>
    <x:row r="1" ht="30" customHeight="1">
      <x:c r="A1" s="8" t="str">
        <x:v>导入校验结果</x:v>
      </x:c>
      <x:c r="B1" s="8"/>
      <x:c r="C1" s="8"/>
      <x:c r="D1" s="8"/>
      <x:c r="E1" s="8"/>
    </x:row>
    <x:row r="3" ht="26" customHeight="1">
      <x:c r="A3" s="24" t="str">
        <x:v>check</x:v>
      </x:c>
      <x:c r="B3" s="24" t="str">
        <x:v>severity</x:v>
      </x:c>
      <x:c r="C3" s="24" t="str">
        <x:v>result</x:v>
      </x:c>
      <x:c r="D3" s="24" t="str">
        <x:v>count</x:v>
      </x:c>
      <x:c r="E3" s="24" t="str">
        <x:v>details</x:v>
      </x:c>
    </x:row>
    <x:row r="4">
      <x:c r="A4" s="28" t="str">
        <x:v>asset_id 全局唯一</x:v>
      </x:c>
      <x:c r="B4" s="28" t="str">
        <x:v>ok</x:v>
      </x:c>
      <x:c r="C4" s="28" t="str">
        <x:v>pass</x:v>
      </x:c>
      <x:c r="D4" s="28" t="n">
        <x:v>0</x:v>
      </x:c>
      <x:c r="E4" s="28" t="str"/>
    </x:row>
    <x:row r="5">
      <x:c r="A5" s="28" t="str">
        <x:v>fixture_id 全局唯一</x:v>
      </x:c>
      <x:c r="B5" s="28" t="str">
        <x:v>ok</x:v>
      </x:c>
      <x:c r="C5" s="28" t="str">
        <x:v>pass</x:v>
      </x:c>
      <x:c r="D5" s="28" t="n">
        <x:v>0</x:v>
      </x:c>
      <x:c r="E5" s="28" t="str"/>
    </x:row>
    <x:row r="6">
      <x:c r="A6" s="28" t="str">
        <x:v>source_id 全局唯一</x:v>
      </x:c>
      <x:c r="B6" s="28" t="str">
        <x:v>ok</x:v>
      </x:c>
      <x:c r="C6" s="28" t="str">
        <x:v>pass</x:v>
      </x:c>
      <x:c r="D6" s="28" t="n">
        <x:v>0</x:v>
      </x:c>
      <x:c r="E6" s="28" t="str"/>
    </x:row>
    <x:row r="7">
      <x:c r="A7" s="28" t="str">
        <x:v>资产必填字段与条件字段</x:v>
      </x:c>
      <x:c r="B7" s="28" t="str">
        <x:v>ok</x:v>
      </x:c>
      <x:c r="C7" s="28" t="str">
        <x:v>pass</x:v>
      </x:c>
      <x:c r="D7" s="28" t="n">
        <x:v>0</x:v>
      </x:c>
      <x:c r="E7" s="28" t="str"/>
    </x:row>
    <x:row r="8">
      <x:c r="A8" s="28" t="str">
        <x:v>basis_refs 来源完整性</x:v>
      </x:c>
      <x:c r="B8" s="28" t="str">
        <x:v>ok</x:v>
      </x:c>
      <x:c r="C8" s="28" t="str">
        <x:v>pass</x:v>
      </x:c>
      <x:c r="D8" s="28" t="n">
        <x:v>0</x:v>
      </x:c>
      <x:c r="E8" s="28" t="str"/>
    </x:row>
    <x:row r="9">
      <x:c r="A9" s="28" t="str">
        <x:v>gold_fixture_refs 完整性</x:v>
      </x:c>
      <x:c r="B9" s="28" t="str">
        <x:v>ok</x:v>
      </x:c>
      <x:c r="C9" s="28" t="str">
        <x:v>pass</x:v>
      </x:c>
      <x:c r="D9" s="28" t="n">
        <x:v>0</x:v>
      </x:c>
      <x:c r="E9" s="28" t="str"/>
    </x:row>
    <x:row r="10">
      <x:c r="A10" s="28" t="str">
        <x:v>related_asset_ids 完整性</x:v>
      </x:c>
      <x:c r="B10" s="28" t="str">
        <x:v>ok</x:v>
      </x:c>
      <x:c r="C10" s="28" t="str">
        <x:v>pass</x:v>
      </x:c>
      <x:c r="D10" s="28" t="n">
        <x:v>0</x:v>
      </x:c>
      <x:c r="E10" s="28" t="str"/>
    </x:row>
    <x:row r="11">
      <x:c r="A11" s="28" t="str">
        <x:v>category 值域</x:v>
      </x:c>
      <x:c r="B11" s="28" t="str">
        <x:v>ok</x:v>
      </x:c>
      <x:c r="C11" s="28" t="str">
        <x:v>pass</x:v>
      </x:c>
      <x:c r="D11" s="28" t="n">
        <x:v>0</x:v>
      </x:c>
      <x:c r="E11" s="28" t="str"/>
    </x:row>
    <x:row r="12">
      <x:c r="A12" s="28" t="str">
        <x:v>asset_type 值域</x:v>
      </x:c>
      <x:c r="B12" s="28" t="str">
        <x:v>ok</x:v>
      </x:c>
      <x:c r="C12" s="28" t="str">
        <x:v>pass</x:v>
      </x:c>
      <x:c r="D12" s="28" t="n">
        <x:v>0</x:v>
      </x:c>
      <x:c r="E12" s="28" t="str"/>
    </x:row>
    <x:row r="13">
      <x:c r="A13" s="28" t="str">
        <x:v>lifecycle status 值域</x:v>
      </x:c>
      <x:c r="B13" s="28" t="str">
        <x:v>ok</x:v>
      </x:c>
      <x:c r="C13" s="28" t="str">
        <x:v>pass</x:v>
      </x:c>
      <x:c r="D13" s="28" t="n">
        <x:v>0</x:v>
      </x:c>
      <x:c r="E13" s="28" t="str"/>
    </x:row>
    <x:row r="14">
      <x:c r="A14" s="28" t="str">
        <x:v>G 类不伪装为 P1—P5 消费者</x:v>
      </x:c>
      <x:c r="B14" s="28" t="str">
        <x:v>ok</x:v>
      </x:c>
      <x:c r="C14" s="28" t="str">
        <x:v>pass</x:v>
      </x:c>
      <x:c r="D14" s="28" t="n">
        <x:v>0</x:v>
      </x:c>
      <x:c r="E14" s="28" t="str"/>
    </x:row>
    <x:row r="15">
      <x:c r="A15" s="28" t="str">
        <x:v>G 类声明 DM01 消费合同</x:v>
      </x:c>
      <x:c r="B15" s="28" t="str">
        <x:v>ok</x:v>
      </x:c>
      <x:c r="C15" s="28" t="str">
        <x:v>pass</x:v>
      </x:c>
      <x:c r="D15" s="28" t="n">
        <x:v>0</x:v>
      </x:c>
      <x:c r="E15" s="28" t="str"/>
    </x:row>
    <x:row r="16">
      <x:c r="A16" s="28" t="str">
        <x:v>陈列 H 规则适用 DM01</x:v>
      </x:c>
      <x:c r="B16" s="28" t="str">
        <x:v>ok</x:v>
      </x:c>
      <x:c r="C16" s="28" t="str">
        <x:v>pass</x:v>
      </x:c>
      <x:c r="D16" s="28" t="n">
        <x:v>0</x:v>
      </x:c>
      <x:c r="E16" s="28" t="str"/>
    </x:row>
    <x:row r="17">
      <x:c r="A17" s="28" t="str">
        <x:v>黄金库存与方案算术</x:v>
      </x:c>
      <x:c r="B17" s="28" t="str">
        <x:v>ok</x:v>
      </x:c>
      <x:c r="C17" s="28" t="str">
        <x:v>pass</x:v>
      </x:c>
      <x:c r="D17" s="28" t="n">
        <x:v>0</x:v>
      </x:c>
      <x:c r="E17" s="28" t="str"/>
    </x:row>
    <x:row r="18">
      <x:c r="A18" s="28" t="str">
        <x:v>来源注册字段</x:v>
      </x:c>
      <x:c r="B18" s="28" t="str">
        <x:v>ok</x:v>
      </x:c>
      <x:c r="C18" s="28" t="str">
        <x:v>pass</x:v>
      </x:c>
      <x:c r="D18" s="28" t="n">
        <x:v>0</x:v>
      </x:c>
      <x:c r="E18" s="28" t="str"/>
    </x:row>
    <x:row r="19">
      <x:c r="A19" s="28" t="str">
        <x:v>ADR-018 实际文件路径绑定</x:v>
      </x:c>
      <x:c r="B19" s="28" t="str">
        <x:v>warning</x:v>
      </x:c>
      <x:c r="C19" s="28" t="str">
        <x:v>pending</x:v>
      </x:c>
      <x:c r="D19" s="28" t="n">
        <x:v>1</x:v>
      </x:c>
      <x:c r="E19" s="28" t="str">
        <x:v>当前运行目录未提供 ADR-018 文件本体；本包依据用户确认摘要，项目仓合并时需绑定实际路径。</x:v>
      </x:c>
    </x:row>
    <x:row r="20">
      <x:c r="A20" s="28" t="str">
        <x:v>G 类专业激活复核</x:v>
      </x:c>
      <x:c r="B20" s="28" t="str">
        <x:v>warning</x:v>
      </x:c>
      <x:c r="C20" s="28" t="str">
        <x:v>pending</x:v>
      </x:c>
      <x:c r="D20" s="28" t="n">
        <x:v>46</x:v>
      </x:c>
      <x:c r="E20" s="28" t="str">
        <x:v>32 条 G 知识与 14 条陈列方法仍为 review_candidate，需要零售陈列专家和真实门店执行样本复核。</x:v>
      </x:c>
    </x:row>
    <x:row r="21">
      <x:c r="A21" s="28" t="str">
        <x:v>D-016 物理实现</x:v>
      </x:c>
      <x:c r="B21" s="28" t="str">
        <x:v>warning</x:v>
      </x:c>
      <x:c r="C21" s="28" t="str">
        <x:v>deferred</x:v>
      </x:c>
      <x:c r="D21" s="28" t="n">
        <x:v>1</x:v>
      </x:c>
      <x:c r="E21" s="28" t="str">
        <x:v>DisplayArtifact 字段、表/JSON/投影、事件持久化和状态机未由本包冻结。</x:v>
      </x:c>
    </x:row>
    <x:row r="22">
      <x:c r="A22" s="28" t="str">
        <x:v>历史项目状态同步</x:v>
      </x:c>
      <x:c r="B22" s="28" t="str">
        <x:v>warning</x:v>
      </x:c>
      <x:c r="C22" s="28" t="str">
        <x:v>pending</x:v>
      </x:c>
      <x:c r="D22" s="28" t="n">
        <x:v>1</x:v>
      </x:c>
      <x:c r="E22" s="28" t="str">
        <x:v>旧 TODO/项目记忆可能仍显示 D-005 待决或 P5 4/5；需由项目维护者依据最新 ADR 同步。</x:v>
      </x:c>
    </x:row>
    <x:row r="23">
      <x:c r="A23" s="28" t="str">
        <x:v>夹具注册字段</x:v>
      </x:c>
      <x:c r="B23" s="28" t="str">
        <x:v>ok</x:v>
      </x:c>
      <x:c r="C23" s="28" t="str">
        <x:v>pass</x:v>
      </x:c>
      <x:c r="D23" s="28" t="n">
        <x:v>0</x:v>
      </x:c>
      <x:c r="E23" s="28" t="str"/>
    </x:row>
  </x:sheetData>
  <x:mergeCells>
    <x:mergeCell ref="A1:E1"/>
  </x:mergeCells>
  <x:conditionalFormatting sqref="B4:B100">
    <x:cfRule type="expression" dxfId="0" priority="1">
      <x:formula>B4="error"</x:formula>
    </x:cfRule>
    <x:cfRule type="expression" dxfId="1" priority="2">
      <x:formula>B4="warning"</x:formula>
    </x:cfRule>
    <x:cfRule type="expression" dxfId="2" priority="3">
      <x:formula>B4="ok"</x:formula>
    </x:cfRule>
  </x:conditionalFormatting>
  <x:conditionalFormatting sqref="B4:B23">
    <x:cfRule type="expression" dxfId="3" priority="4">
      <x:formula>B4="error"</x:formula>
    </x:cfRule>
    <x:cfRule type="expression" dxfId="4" priority="5">
      <x:formula>B4="warning"</x:formula>
    </x:cfRule>
    <x:cfRule type="expression" dxfId="5" priority="6">
      <x:formula>B4="ok"</x:formula>
    </x:cfRule>
  </x:conditionalFormatting>
  <x:pageMargins left="0.7" right="0.7" top="0.75" bottom="0.75" header="0.3" footer="0.3"/>
  <x:tableParts count="1">
    <x:tablePart xmlns:r="http://schemas.openxmlformats.org/officeDocument/2006/relationships" r:id="R6d3baddc57464345"/>
  </x:tableParts>
</x:worksheet>
</file>

<file path=xl/worksheets/sheet13.xml><?xml version="1.0" encoding="utf-8"?>
<x:worksheet xmlns:x="http://schemas.openxmlformats.org/spreadsheetml/2006/main">
  <x:sheetFormatPr defaultRowHeight="15"/>
  <x:cols>
    <x:col min="1" max="1" width="34" hidden="0" customWidth="1"/>
    <x:col min="2" max="2" width="24" hidden="0" customWidth="1"/>
    <x:col min="3" max="3" width="24" hidden="0" customWidth="1"/>
    <x:col min="4" max="4" width="56" hidden="0" customWidth="1"/>
  </x:cols>
  <x:sheetData>
    <x:row r="1" ht="30" customHeight="1">
      <x:c r="A1" s="8" t="str">
        <x:v>双应用 v0.2 新增逻辑字段字典</x:v>
      </x:c>
      <x:c r="B1" s="8"/>
      <x:c r="C1" s="8"/>
      <x:c r="D1" s="8"/>
    </x:row>
    <x:row r="3" ht="26" customHeight="1">
      <x:c r="A3" s="24" t="str">
        <x:v>field</x:v>
      </x:c>
      <x:c r="B3" s="24" t="str">
        <x:v>kind</x:v>
      </x:c>
      <x:c r="C3" s="24" t="str">
        <x:v>scope</x:v>
      </x:c>
      <x:c r="D3" s="24" t="str">
        <x:v>meaning</x:v>
      </x:c>
    </x:row>
    <x:row r="4">
      <x:c r="A4" s="28" t="str">
        <x:v>supported_display_contracts</x:v>
      </x:c>
      <x:c r="B4" s="28" t="str">
        <x:v>asset consumer field</x:v>
      </x:c>
      <x:c r="C4" s="28" t="str">
        <x:v>G knowledge/methods</x:v>
      </x:c>
      <x:c r="D4" s="28" t="str">
        <x:v>声明陈列合同消费者，不伪装为P1—P5</x:v>
      </x:c>
    </x:row>
    <x:row r="5">
      <x:c r="A5" s="28" t="str">
        <x:v>display_contract_id</x:v>
      </x:c>
      <x:c r="B5" s="28" t="str">
        <x:v>contract identifier</x:v>
      </x:c>
      <x:c r="C5" s="28" t="str">
        <x:v>DM01</x:v>
      </x:c>
      <x:c r="D5" s="28" t="str">
        <x:v>墙面挂杆首期成果合同</x:v>
      </x:c>
    </x:row>
    <x:row r="6">
      <x:c r="A6" s="28" t="str">
        <x:v>brand_display_policy_ref</x:v>
      </x:c>
      <x:c r="B6" s="28" t="str">
        <x:v>input reference</x:v>
      </x:c>
      <x:c r="C6" s="28" t="str">
        <x:v>Display task</x:v>
      </x:c>
      <x:c r="D6" s="28" t="str">
        <x:v>品牌当前陈列标准</x:v>
      </x:c>
    </x:row>
    <x:row r="7">
      <x:c r="A7" s="28" t="str">
        <x:v>store_wall_rail_profile_ref</x:v>
      </x:c>
      <x:c r="B7" s="28" t="str">
        <x:v>input reference</x:v>
      </x:c>
      <x:c r="C7" s="28" t="str">
        <x:v>Display task</x:v>
      </x:c>
      <x:c r="D7" s="28" t="str">
        <x:v>门店固定条件档案</x:v>
      </x:c>
    </x:row>
    <x:row r="8">
      <x:c r="A8" s="28" t="str">
        <x:v>inventory_lines</x:v>
      </x:c>
      <x:c r="B8" s="28" t="str">
        <x:v>task input</x:v>
      </x:c>
      <x:c r="C8" s="28" t="str">
        <x:v>current task</x:v>
      </x:c>
      <x:c r="D8" s="28" t="str">
        <x:v>用户自报商品与数量，不是ERP真值</x:v>
      </x:c>
    </x:row>
    <x:row r="9">
      <x:c r="A9" s="28" t="str">
        <x:v>affected_scope</x:v>
      </x:c>
      <x:c r="B9" s="28" t="str">
        <x:v>feedback/revision</x:v>
      </x:c>
      <x:c r="C9" s="28" t="str">
        <x:v>current task</x:v>
      </x:c>
      <x:c r="D9" s="28" t="str">
        <x:v>自然反馈影响范围</x:v>
      </x:c>
    </x:row>
    <x:row r="10">
      <x:c r="A10" s="28" t="str">
        <x:v>explicitly_unchanged</x:v>
      </x:c>
      <x:c r="B10" s="28" t="str">
        <x:v>feedback/revision</x:v>
      </x:c>
      <x:c r="C10" s="28" t="str">
        <x:v>current task</x:v>
      </x:c>
      <x:c r="D10" s="28" t="str">
        <x:v>支持未受影响部分继承</x:v>
      </x:c>
    </x:row>
    <x:row r="11">
      <x:c r="A11" s="28" t="str">
        <x:v>artifact_actuality</x:v>
      </x:c>
      <x:c r="B11" s="28" t="str">
        <x:v>artifact semantic</x:v>
      </x:c>
      <x:c r="C11" s="28" t="str">
        <x:v>DisplayArtifact</x:v>
      </x:c>
      <x:c r="D11" s="28" t="str">
        <x:v>建议/用户声明执行/系统核验必须分开</x:v>
      </x:c>
    </x:row>
    <x:row r="12">
      <x:c r="A12" s="28" t="str">
        <x:v>method_family=display_merchandising</x:v>
      </x:c>
      <x:c r="B12" s="28" t="str">
        <x:v>method classification</x:v>
      </x:c>
      <x:c r="C12" s="28" t="str">
        <x:v>G methods</x:v>
      </x:c>
      <x:c r="D12" s="28" t="str">
        <x:v>沿用generation_method资产类型避免破坏v0.1</x:v>
      </x:c>
    </x:row>
    <x:row r="13">
      <x:c r="A13" s="28" t="str">
        <x:v>applies_to=DM01...</x:v>
      </x:c>
      <x:c r="B13" s="28" t="str">
        <x:v>evaluation consumer</x:v>
      </x:c>
      <x:c r="C13" s="28" t="str">
        <x:v>H rules</x:v>
      </x:c>
      <x:c r="D13" s="28" t="str">
        <x:v>评测规则可引用陈列合同ID</x:v>
      </x:c>
    </x:row>
  </x:sheetData>
  <x:mergeCells>
    <x:mergeCell ref="A1:D1"/>
  </x:mergeCells>
  <x:pageMargins left="0.7" right="0.7" top="0.75" bottom="0.75" header="0.3" footer="0.3"/>
  <x:tableParts count="1">
    <x:tablePart xmlns:r="http://schemas.openxmlformats.org/officeDocument/2006/relationships" r:id="Rd1f10829211a4ad7"/>
  </x:tableParts>
</x:worksheet>
</file>