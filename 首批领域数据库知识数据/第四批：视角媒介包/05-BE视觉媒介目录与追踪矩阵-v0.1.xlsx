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808521483a42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2a6ad6f6ce25489b"/>
    <x:sheet xmlns:r="http://schemas.openxmlformats.org/officeDocument/2006/relationships" name="B08视觉核心目录" sheetId="2" r:id="Rf6574e378a1b4afd"/>
    <x:sheet xmlns:r="http://schemas.openxmlformats.org/officeDocument/2006/relationships" name="E方法卡目录" sheetId="3" r:id="R77abd33f6c854c98"/>
    <x:sheet xmlns:r="http://schemas.openxmlformats.org/officeDocument/2006/relationships" name="需求覆盖" sheetId="4" r:id="Rb030bf72f3834d07"/>
    <x:sheet xmlns:r="http://schemas.openxmlformats.org/officeDocument/2006/relationships" name="产品支持矩阵" sheetId="5" r:id="R179a03d3ceff43ca"/>
    <x:sheet xmlns:r="http://schemas.openxmlformats.org/officeDocument/2006/relationships" name="验证夹具" sheetId="6" r:id="Ref753d32de4f46a7"/>
    <x:sheet xmlns:r="http://schemas.openxmlformats.org/officeDocument/2006/relationships" name="来源索引" sheetId="7" r:id="Rd6e5d56ac8444bdd"/>
    <x:sheet xmlns:r="http://schemas.openxmlformats.org/officeDocument/2006/relationships" name="复核说明" sheetId="8" r:id="Rbda27f3ca5644f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203040"/>
      <x:name val="Carlito"/>
    </x:font>
    <x:font>
      <x:b/>
      <x:sz val="10"/>
      <x:color rgb="FFFFFFFF"/>
      <x:name val="Carlito"/>
    </x:font>
    <x:font>
      <x:sz val="9"/>
      <x:color rgb="FF203040"/>
      <x:name val="Carlito"/>
    </x:font>
    <x:font>
      <x:b/>
      <x:sz val="11"/>
      <x:color rgb="FF173B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4D"/>
      </x:patternFill>
    </x:fill>
    <x:fill>
      <x:patternFill patternType="solid">
        <x:fgColor rgb="FFFBF4DF"/>
      </x:patternFill>
    </x:fill>
    <x:fill>
      <x:patternFill patternType="solid">
        <x:fgColor rgb="FF2F7A86"/>
      </x:patternFill>
    </x:fill>
    <x:fill>
      <x:patternFill patternType="solid">
        <x:fgColor rgb="FFE7F2F4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ill>
        <x:patternFill patternType="solid">
          <x:bgColor rgb="FFFFF2CC"/>
        </x:patternFill>
      </x:fill>
    </x:dxf>
    <x:dxf>
      <x:fill>
        <x:patternFill patternType="solid">
          <x:bgColor rgb="FFDDEFE3"/>
        </x:patternFill>
      </x:fill>
    </x:dxf>
    <x:dxf>
      <x:fill>
        <x:patternFill patternType="solid">
          <x:bgColor rgb="FFDCE6F1"/>
        </x:patternFill>
      </x:fill>
    </x:dxf>
    <x:dxf>
      <x:fill>
        <x:patternFill patternType="solid">
          <x:bgColor rgb="FFDCE6F1"/>
        </x:patternFill>
      </x:fill>
    </x:dxf>
    <x:dxf>
      <x:fill>
        <x:patternFill patternType="solid">
          <x:bgColor rgb="FFDDEFE3"/>
        </x:patternFill>
      </x:fill>
    </x:dxf>
    <x:dxf>
      <x:fill>
        <x:patternFill patternType="solid">
          <x:bgColor rgb="FFDDEFE3"/>
        </x:patternFill>
      </x:fill>
    </x:dxf>
    <x:dxf>
      <x:fill>
        <x:patternFill patternType="solid">
          <x:bgColor rgb="FFDDEFE3"/>
        </x:patternFill>
      </x:fill>
    </x:dxf>
    <x:dxf>
      <x:fill>
        <x:patternFill patternType="solid">
          <x:bgColor rgb="FFDDEFE3"/>
        </x:patternFill>
      </x:fill>
    </x:dxf>
    <x:dxf>
      <x:fill>
        <x:patternFill patternType="solid">
          <x:bgColor rgb="FFDDEF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1104331c1b4fab" /><Relationship Type="http://schemas.openxmlformats.org/officeDocument/2006/relationships/theme" Target="/xl/theme/theme1.xml" Id="R8a6c426b5661477b" /><Relationship Type="http://schemas.openxmlformats.org/officeDocument/2006/relationships/sharedStrings" Target="/xl/sharedStrings.xml" Id="R8bffca54534c4ec2" /><Relationship Type="http://schemas.openxmlformats.org/officeDocument/2006/relationships/worksheet" Target="/xl/worksheets/sheet1.xml" Id="R2a6ad6f6ce25489b" /><Relationship Type="http://schemas.openxmlformats.org/officeDocument/2006/relationships/worksheet" Target="/xl/worksheets/sheet2.xml" Id="Rf6574e378a1b4afd" /><Relationship Type="http://schemas.openxmlformats.org/officeDocument/2006/relationships/worksheet" Target="/xl/worksheets/sheet3.xml" Id="R77abd33f6c854c98" /><Relationship Type="http://schemas.openxmlformats.org/officeDocument/2006/relationships/worksheet" Target="/xl/worksheets/sheet4.xml" Id="Rb030bf72f3834d07" /><Relationship Type="http://schemas.openxmlformats.org/officeDocument/2006/relationships/worksheet" Target="/xl/worksheets/sheet5.xml" Id="R179a03d3ceff43ca" /><Relationship Type="http://schemas.openxmlformats.org/officeDocument/2006/relationships/worksheet" Target="/xl/worksheets/sheet6.xml" Id="Ref753d32de4f46a7" /><Relationship Type="http://schemas.openxmlformats.org/officeDocument/2006/relationships/worksheet" Target="/xl/worksheets/sheet7.xml" Id="Rd6e5d56ac8444bdd" /><Relationship Type="http://schemas.openxmlformats.org/officeDocument/2006/relationships/worksheet" Target="/xl/worksheets/sheet8.xml" Id="Rbda27f3ca5644f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deb5aff90441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新增资产按需求分布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数量</c:v>
          </c:tx>
          <c:cat>
            <c:strRef>
              <c:f>'总览'!$D$5:$D$10</c:f>
              <c:strCache>
                <c:ptCount val="0"/>
              </c:strCache>
            </c:strRef>
          </c:cat>
          <c:val>
            <c:numRef>
              <c:f>'总览'!$E$5:$E$10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deb5aff90441f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08VisualTable" displayName="B08VisualTable" ref="A4:N10" headerRowCount="1">
  <x:tableColumns count="14">
    <x:tableColumn id="1" name="ID"/>
    <x:tableColumn id="2" name="需求"/>
    <x:tableColumn id="3" name="主题"/>
    <x:tableColumn id="4" name="标题"/>
    <x:tableColumn id="5" name="硬度"/>
    <x:tableColumn id="6" name="支持产品"/>
    <x:tableColumn id="7" name="知识断言"/>
    <x:tableColumn id="8" name="何时使用/创意方向"/>
    <x:tableColumn id="9" name="可能效果/变化轴"/>
    <x:tableColumn id="10" name="代价/不适用"/>
    <x:tableColumn id="11" name="禁止误用"/>
    <x:tableColumn id="12" name="依据引用"/>
    <x:tableColumn id="13" name="验证夹具"/>
    <x:tableColumn id="14" name="状态"/>
  </x:tableColumns>
  <x:tableStyleInfo name="TableStyleMedium2" showRowStripes="1"/>
</x:table>
</file>

<file path=xl/tables/table2.xml><?xml version="1.0" encoding="utf-8"?>
<x:table xmlns:x="http://schemas.openxmlformats.org/spreadsheetml/2006/main" id="2" name="EMethodTable" displayName="EMethodTable" ref="A4:N32" headerRowCount="1">
  <x:tableColumns count="14">
    <x:tableColumn id="1" name="ID"/>
    <x:tableColumn id="2" name="需求"/>
    <x:tableColumn id="3" name="主题"/>
    <x:tableColumn id="4" name="方法名"/>
    <x:tableColumn id="5" name="支持产品"/>
    <x:tableColumn id="6" name="适合使用"/>
    <x:tableColumn id="7" name="避免使用"/>
    <x:tableColumn id="8" name="最低输入"/>
    <x:tableColumn id="9" name="编译步骤"/>
    <x:tableColumn id="10" name="成功信号"/>
    <x:tableColumn id="11" name="失败模式"/>
    <x:tableColumn id="12" name="依据引用"/>
    <x:tableColumn id="13" name="验证夹具"/>
    <x:tableColumn id="14" name="状态"/>
  </x:tableColumns>
  <x:tableStyleInfo name="TableStyleMedium2" showRowStripes="1"/>
</x:table>
</file>

<file path=xl/tables/table3.xml><?xml version="1.0" encoding="utf-8"?>
<x:table xmlns:x="http://schemas.openxmlformats.org/spreadsheetml/2006/main" id="3" name="DemandCoverageTable" displayName="DemandCoverageTable" ref="A4:I10" headerRowCount="1">
  <x:tableColumns count="9">
    <x:tableColumn id="1" name="需求"/>
    <x:tableColumn id="2" name="资产类型"/>
    <x:tableColumn id="3" name="主题"/>
    <x:tableColumn id="4" name="本批新增"/>
    <x:tableColumn id="5" name="既有依赖"/>
    <x:tableColumn id="6" name="当前可用候选合计"/>
    <x:tableColumn id="7" name="覆盖状态"/>
    <x:tableColumn id="8" name="主要消费者"/>
    <x:tableColumn id="9" name="边界"/>
  </x:tableColumns>
  <x:tableStyleInfo name="TableStyleMedium2" showRowStripes="1"/>
</x:table>
</file>

<file path=xl/tables/table4.xml><?xml version="1.0" encoding="utf-8"?>
<x:table xmlns:x="http://schemas.openxmlformats.org/spreadsheetml/2006/main" id="4" name="ProductSupportTable" displayName="ProductSupportTable" ref="A4:J38" headerRowCount="1">
  <x:tableColumns count="10">
    <x:tableColumn id="1" name="资产ID"/>
    <x:tableColumn id="2" name="资产类型"/>
    <x:tableColumn id="3" name="需求"/>
    <x:tableColumn id="4" name="标题/方法"/>
    <x:tableColumn id="5" name="P1"/>
    <x:tableColumn id="6" name="P2"/>
    <x:tableColumn id="7" name="P3"/>
    <x:tableColumn id="8" name="P4"/>
    <x:tableColumn id="9" name="P5"/>
    <x:tableColumn id="10" name="状态"/>
  </x:tableColumns>
  <x:tableStyleInfo name="TableStyleMedium2" showRowStripes="1"/>
</x:table>
</file>

<file path=xl/tables/table5.xml><?xml version="1.0" encoding="utf-8"?>
<x:table xmlns:x="http://schemas.openxmlformats.org/spreadsheetml/2006/main" id="5" name="ValidationFixtureTable" displayName="ValidationFixtureTable" ref="A4:H34" headerRowCount="1">
  <x:tableColumns count="8">
    <x:tableColumn id="1" name="夹具ID"/>
    <x:tableColumn id="2" name="类型"/>
    <x:tableColumn id="3" name="支撑产品"/>
    <x:tableColumn id="4" name="关联资产"/>
    <x:tableColumn id="5" name="执行范围"/>
    <x:tableColumn id="6" name="输入/变化"/>
    <x:tableColumn id="7" name="预期"/>
    <x:tableColumn id="8" name="禁止"/>
  </x:tableColumns>
  <x:tableStyleInfo name="TableStyleMedium2" showRowStripes="1"/>
</x:table>
</file>

<file path=xl/tables/table6.xml><?xml version="1.0" encoding="utf-8"?>
<x:table xmlns:x="http://schemas.openxmlformats.org/spreadsheetml/2006/main" id="6" name="SourceIndexTable" displayName="SourceIndexTable" ref="A4:G21" headerRowCount="1">
  <x:tableColumns count="7">
    <x:tableColumn id="1" name="来源ID"/>
    <x:tableColumn id="2" name="标题"/>
    <x:tableColumn id="3" name="类型"/>
    <x:tableColumn id="4" name="权威状态"/>
    <x:tableColumn id="5" name="使用范围"/>
    <x:tableColumn id="6" name="文件/位置"/>
    <x:tableColumn id="7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ReviewNotesTable" displayName="ReviewNotesTable" ref="A4:B13" headerRowCount="1">
  <x:tableColumns count="2">
    <x:tableColumn id="1" name="复核项"/>
    <x:tableColumn id="2" name="判断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4d57aff913a4c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d1364ed2df49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4edf925cbc40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49354b750145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8170d9bf6d49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a2627a458547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2727c408e342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d3e7ebd03b4085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4" max="4" width="22" hidden="0" customWidth="1"/>
    <x:col min="5" max="5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0" customHeight="1">
      <x:c r="A1" s="5" t="str">
        <x:v>第四批：B08 / P5 视觉核心与 E 稳定媒介语法包 v0.1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42" customHeight="1">
      <x:c r="A2" s="13" t="str">
        <x:v>状态：review_candidate｜P1—P5 专属验收 5/5｜本批只冻结跨媒体稳定方法，不冻结 D-032 平台/成品包、D-030 媒体支持矩阵或 D-016 物理对象。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22" t="str">
        <x:v>指标</x:v>
      </x:c>
      <x:c r="B4" s="22" t="str">
        <x:v>值</x:v>
      </x:c>
      <x:c r="D4" s="22" t="str">
        <x:v>资产/需求</x:v>
      </x:c>
      <x:c r="E4" s="22" t="str">
        <x:v>数量</x:v>
      </x:c>
    </x:row>
    <x:row r="5">
      <x:c r="A5" s="30" t="str">
        <x:v>新增逻辑资产总数</x:v>
      </x:c>
      <x:c r="B5" s="30" t="n">
        <x:f>COUNTA('B08视觉核心目录'!A5:A200)+COUNTA('E方法卡目录'!A5:A300)</x:f>
        <x:v>34</x:v>
      </x:c>
      <x:c r="D5" s="30" t="str">
        <x:v>B08</x:v>
      </x:c>
      <x:c r="E5" s="30" t="n">
        <x:f>COUNTA('B08视觉核心目录'!A5:A200)</x:f>
        <x:v>6</x:v>
      </x:c>
    </x:row>
    <x:row r="6">
      <x:c r="A6" s="30" t="str">
        <x:v>B08 新增视觉知识卡</x:v>
      </x:c>
      <x:c r="B6" s="30" t="n">
        <x:f>COUNTA('B08视觉核心目录'!A5:A200)</x:f>
        <x:v>6</x:v>
      </x:c>
      <x:c r="D6" s="30" t="str">
        <x:v>E01</x:v>
      </x:c>
      <x:c r="E6" s="30" t="n">
        <x:f>COUNTIF('E方法卡目录'!B5:B300,"E01")</x:f>
        <x:v>4</x:v>
      </x:c>
    </x:row>
    <x:row r="7">
      <x:c r="A7" s="30" t="str">
        <x:v>E 制作方法卡</x:v>
      </x:c>
      <x:c r="B7" s="30" t="n">
        <x:f>COUNTA('E方法卡目录'!A5:A300)</x:f>
        <x:v>28</x:v>
      </x:c>
      <x:c r="D7" s="30" t="str">
        <x:v>E02</x:v>
      </x:c>
      <x:c r="E7" s="30" t="n">
        <x:f>COUNTIF('E方法卡目录'!B5:B300,"E02")</x:f>
        <x:v>4</x:v>
      </x:c>
    </x:row>
    <x:row r="8">
      <x:c r="A8" s="30" t="str">
        <x:v>来源条目</x:v>
      </x:c>
      <x:c r="B8" s="30" t="n">
        <x:f>COUNTA('来源索引'!A5:A100)</x:f>
        <x:v>17</x:v>
      </x:c>
      <x:c r="D8" s="30" t="str">
        <x:v>E03</x:v>
      </x:c>
      <x:c r="E8" s="30" t="n">
        <x:f>COUNTIF('E方法卡目录'!B5:B300,"E03")</x:f>
        <x:v>6</x:v>
      </x:c>
    </x:row>
    <x:row r="9">
      <x:c r="A9" s="30" t="str">
        <x:v>验证夹具</x:v>
      </x:c>
      <x:c r="B9" s="30" t="n">
        <x:f>COUNTA('验证夹具'!A5:A100)</x:f>
        <x:v>30</x:v>
      </x:c>
      <x:c r="D9" s="30" t="str">
        <x:v>E04</x:v>
      </x:c>
      <x:c r="E9" s="30" t="n">
        <x:f>COUNTIF('E方法卡目录'!B5:B300,"E04")</x:f>
        <x:v>4</x:v>
      </x:c>
    </x:row>
    <x:row r="10">
      <x:c r="A10" s="30" t="str">
        <x:v>覆盖需求主题</x:v>
      </x:c>
      <x:c r="B10" s="30" t="n">
        <x:f>COUNTA('需求覆盖'!A5:A20)</x:f>
        <x:v>6</x:v>
      </x:c>
      <x:c r="D10" s="30" t="str">
        <x:v>E05</x:v>
      </x:c>
      <x:c r="E10" s="30" t="n">
        <x:f>COUNTIF('E方法卡目录'!B5:B300,"E05")</x:f>
        <x:v>10</x:v>
      </x:c>
    </x:row>
    <x:row r="11">
      <x:c r="A11" s="30" t="str">
        <x:v>当前激活状态</x:v>
      </x:c>
      <x:c r="B11" s="30" t="str">
        <x:v>review_candidate</x:v>
      </x:c>
    </x:row>
    <x:row r="12">
      <x:c r="D12" s="22" t="str">
        <x:v>B08 硬度</x:v>
      </x:c>
      <x:c r="E12" s="22" t="str">
        <x:v>数量</x:v>
      </x:c>
    </x:row>
    <x:row r="13">
      <x:c r="D13" s="30" t="str">
        <x:v>条件性专业规律</x:v>
      </x:c>
      <x:c r="E13" s="30" t="n">
        <x:f>COUNTIF('B08视觉核心目录'!E5:E200,"条件性专业规律")</x:f>
        <x:v>4</x:v>
      </x:c>
    </x:row>
    <x:row r="14">
      <x:c r="A14" s="36" t="str">
        <x:v>本批锁定的上游结论</x:v>
      </x:c>
      <x:c r="B14" s="36"/>
      <x:c r="D14" s="30" t="str">
        <x:v>审美/创意候选</x:v>
      </x:c>
      <x:c r="E14" s="30" t="n">
        <x:f>COUNTIF('B08视觉核心目录'!E5:E200,"审美/创意候选")</x:f>
        <x:v>2</x:v>
      </x:c>
    </x:row>
    <x:row r="15" ht="24" customHeight="1">
      <x:c r="A15" s="42" t="str">
        <x:v>• P5-C/P5-D 已关闭，五类专属验收达到 5/5。
• P5 每份只围绕一条可见造型命题；真实商品关系按需；画面承重；媒体组成按需。
• 第二批 B-CREATIVE-002 继续有效，本批不重复导入，只补齐 B08 视觉关系。
• 当前制作条件直接塑造一个完整主版本；不默认高配/低配双方案。
• 一人一手机必须真正可执行；团队资源只深化同一合同。
• 自然时长、缩短/延长和跨媒体均按主价值重新编译。
• 概念、摆拍、实际捕捉与媒体来源路径保持正交。
• D-032、D-030、D-016 未关闭部分不在本包冻结。</x:v>
      </x:c>
      <x:c r="B15" s="42"/>
    </x:row>
    <x:row r="16" ht="24" customHeight="1">
      <x:c r="A16" s="42"/>
      <x:c r="B16" s="42"/>
    </x:row>
    <x:row r="17" ht="24" customHeight="1">
      <x:c r="A17" s="42"/>
      <x:c r="B17" s="42"/>
    </x:row>
    <x:row r="18" ht="24" customHeight="1">
      <x:c r="A18" s="42"/>
      <x:c r="B18" s="42"/>
    </x:row>
    <x:row r="19" ht="24" customHeight="1">
      <x:c r="A19" s="42"/>
      <x:c r="B19" s="42"/>
    </x:row>
    <x:row r="20" ht="24" customHeight="1">
      <x:c r="A20" s="42"/>
      <x:c r="B20" s="42"/>
    </x:row>
    <x:row r="21" ht="24" customHeight="1">
      <x:c r="A21" s="42"/>
      <x:c r="B21" s="42"/>
    </x:row>
    <x:row r="22" ht="24" customHeight="1">
      <x:c r="A22" s="42"/>
      <x:c r="B22" s="42"/>
    </x:row>
    <x:row r="23" ht="24" customHeight="1">
      <x:c r="A23" s="42"/>
      <x:c r="B23" s="42"/>
    </x:row>
  </x:sheetData>
  <x:mergeCells>
    <x:mergeCell ref="A1:L1"/>
    <x:mergeCell ref="A2:L2"/>
    <x:mergeCell ref="A14:B14"/>
    <x:mergeCell ref="A15:B23"/>
  </x:mergeCells>
  <x:pageMargins left="0.7" right="0.7" top="0.75" bottom="0.75" header="0.3" footer="0.3"/>
  <x:drawing xmlns:r="http://schemas.openxmlformats.org/officeDocument/2006/relationships" r:id="R74d57aff913a4cc6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" hidden="0" customWidth="1"/>
    <x:col min="3" max="3" width="22" hidden="0" customWidth="1"/>
    <x:col min="4" max="4" width="32" hidden="0" customWidth="1"/>
    <x:col min="5" max="5" width="16" hidden="0" customWidth="1"/>
    <x:col min="6" max="6" width="18" hidden="0" customWidth="1"/>
    <x:col min="7" max="7" width="40" hidden="0" customWidth="1"/>
    <x:col min="8" max="8" width="36" hidden="0" customWidth="1"/>
    <x:col min="9" max="9" width="36" hidden="0" customWidth="1"/>
    <x:col min="10" max="10" width="36" hidden="0" customWidth="1"/>
    <x:col min="11" max="11" width="38" hidden="0" customWidth="1"/>
    <x:col min="12" max="12" width="30" hidden="0" customWidth="1"/>
    <x:col min="13" max="13" width="18" hidden="0" customWidth="1"/>
    <x:col min="14" max="14" width="18" hidden="0" customWidth="1"/>
  </x:cols>
  <x:sheetData>
    <x:row r="1" ht="19.200000762939453" hidden="0" customHeight="1">
      <x:c r="A1" s="5" t="str">
        <x:v>B08 / P5 视觉核心补充知识卡目录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48" hidden="0" customHeight="1">
      <x:c r="A2" s="13" t="str">
        <x:v>第二批既有 B-CREATIVE-002 不重复导入；本表只列本批新增候选。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/>
    <x:row r="4" ht="15" hidden="0" customHeight="1">
      <x:c r="A4" s="22" t="str">
        <x:v>ID</x:v>
      </x:c>
      <x:c r="B4" s="22" t="str">
        <x:v>需求</x:v>
      </x:c>
      <x:c r="C4" s="22" t="str">
        <x:v>主题</x:v>
      </x:c>
      <x:c r="D4" s="22" t="str">
        <x:v>标题</x:v>
      </x:c>
      <x:c r="E4" s="22" t="str">
        <x:v>硬度</x:v>
      </x:c>
      <x:c r="F4" s="22" t="str">
        <x:v>支持产品</x:v>
      </x:c>
      <x:c r="G4" s="22" t="str">
        <x:v>知识断言</x:v>
      </x:c>
      <x:c r="H4" s="22" t="str">
        <x:v>何时使用/创意方向</x:v>
      </x:c>
      <x:c r="I4" s="22" t="str">
        <x:v>可能效果/变化轴</x:v>
      </x:c>
      <x:c r="J4" s="22" t="str">
        <x:v>代价/不适用</x:v>
      </x:c>
      <x:c r="K4" s="22" t="str">
        <x:v>禁止误用</x:v>
      </x:c>
      <x:c r="L4" s="22" t="str">
        <x:v>依据引用</x:v>
      </x:c>
      <x:c r="M4" s="22" t="str">
        <x:v>验证夹具</x:v>
      </x:c>
      <x:c r="N4" s="22" t="str">
        <x:v>状态</x:v>
      </x:c>
    </x:row>
    <x:row r="5" ht="72" hidden="0" customHeight="1">
      <x:c r="A5" s="30" t="str">
        <x:v>B-VIS-001</x:v>
      </x:c>
      <x:c r="B5" s="30" t="str">
        <x:v>B08</x:v>
      </x:c>
      <x:c r="C5" s="30" t="str">
        <x:v>visible_styling_proposition</x:v>
      </x:c>
      <x:c r="D5" s="30" t="str">
        <x:v>可见造型命题必须能被具体复述，而不是只剩抽象风格词</x:v>
      </x:c>
      <x:c r="E5" s="30" t="str">
        <x:v>条件性专业规律</x:v>
      </x:c>
      <x:c r="F5" s="30" t="str">
        <x:v>P5,P1,P3,P4</x:v>
      </x:c>
      <x:c r="G5" s="30" t="str">
        <x:v>一条可见造型命题应让受众能够具体说出商品、身体、动作或环境之间出现了什么新的穿着关系；“高级、松弛、氛围感、秋日感”等抽象词本身不足以构成命题。</x:v>
      </x:c>
      <x:c r="H5" s="30" t="str">
        <x:v>系统需要判断当前视觉方向是否已经从审美形容词收敛为可拍、可看、可复述的造型关系</x:v>
      </x:c>
      <x:c r="I5" s="30" t="str">
        <x:v>让商品关系、画面入口和受众获得的穿着可能保持一致</x:v>
      </x:c>
      <x:c r="J5" s="30" t="str">
        <x:v>围绕一条命题会主动放弃同篇展示更多卖点或搭配可能
不适用：任务主要价值是商品解释、人格观点或本地回应，视觉只作辅助；或尚无法建立真实品牌商品身份</x:v>
      </x:c>
      <x:c r="K5" s="30" t="str">
        <x:v>不得把抽象情绪词、品牌口号、流行滤镜或普通站姿包装成 P5 命题；不得要求所有视觉内容都采用同一种二元对比结构。</x:v>
      </x:c>
      <x:c r="L5" s="30" t="str">
        <x:v>PRJ-P5-CLOSE-20260721; PRJ-ADR-013; PRJ-AB-B08; EXP-BE-VISUAL-001</x:v>
      </x:c>
      <x:c r="M5" s="30" t="str">
        <x:v>BE-V01; BE-V08</x:v>
      </x:c>
      <x:c r="N5" s="30" t="str">
        <x:v>review_candidate</x:v>
      </x:c>
    </x:row>
    <x:row r="6" ht="72" hidden="0" customHeight="1">
      <x:c r="A6" s="30" t="str">
        <x:v>B-VIS-002</x:v>
      </x:c>
      <x:c r="B6" s="30" t="str">
        <x:v>B08</x:v>
      </x:c>
      <x:c r="C6" s="30" t="str">
        <x:v>necessary_product_relationship</x:v>
      </x:c>
      <x:c r="D6" s="30" t="str">
        <x:v>商品数量由造型命题的必要关系决定，不由“搭配完整度”决定</x:v>
      </x:c>
      <x:c r="E6" s="30" t="str">
        <x:v>条件性专业规律</x:v>
      </x:c>
      <x:c r="F6" s="30" t="str">
        <x:v>P5,P1,P2</x:v>
      </x:c>
      <x:c r="G6" s="30" t="str">
        <x:v>当一件商品与身体、动作或环境的关系已经足以让穿着可能成立时，不应为了看起来更完整强迫加入鞋包、配饰或第二件服装；只有新增商品承担不可替代的比例、层次、色彩、功能或场景关系时才应加入。</x:v>
      </x:c>
      <x:c r="H6" s="30" t="str">
        <x:v>系统需要确定单件、两件或多件商品是否都是当前命题成立所必需</x:v>
      </x:c>
      <x:c r="I6" s="30" t="str">
        <x:v>减少无意义搭配堆砌，使每个商品都有明确视觉职责</x:v>
      </x:c>
      <x:c r="J6" s="30" t="str">
        <x:v>更少商品可能降低商品曝光广度，但提升命题清晰度和制作可行性
不适用：任务本身明确需要比较、层搭、组合替代或多商品关系</x:v>
      </x:c>
      <x:c r="K6" s="30" t="str">
        <x:v>不得把“单件足够”写成 P5 固定规则；也不得把每份 P5 做成三套穿法或搭配清单。</x:v>
      </x:c>
      <x:c r="L6" s="30" t="str">
        <x:v>PRJ-P5-CLOSE-20260721; PRJ-ADR-013; PRJ-AB-B08; EXP-BE-VISUAL-001</x:v>
      </x:c>
      <x:c r="M6" s="30" t="str">
        <x:v>BE-V09</x:v>
      </x:c>
      <x:c r="N6" s="30" t="str">
        <x:v>review_candidate</x:v>
      </x:c>
    </x:row>
    <x:row r="7" ht="72" hidden="0" customHeight="1">
      <x:c r="A7" s="30" t="str">
        <x:v>B-VIS-003</x:v>
      </x:c>
      <x:c r="B7" s="30" t="str">
        <x:v>B08</x:v>
      </x:c>
      <x:c r="C7" s="30" t="str">
        <x:v>relationship_carrier</x:v>
      </x:c>
      <x:c r="D7" s="30" t="str">
        <x:v>造型命题需要由商品与身体、动作、其他单品或环境中的至少一项关系承重</x:v>
      </x:c>
      <x:c r="E7" s="30" t="str">
        <x:v>条件性专业规律</x:v>
      </x:c>
      <x:c r="F7" s="30" t="str">
        <x:v>P5,P1,P2,P3,P4</x:v>
      </x:c>
      <x:c r="G7" s="30" t="str">
        <x:v>P5 的新穿着可能不能只停留在商品静态外观；商品与身体比例、穿着动作、其他单品或环境之间至少一项关系，应真正改变受众怎样看见和想象这件商品。</x:v>
      </x:c>
      <x:c r="H7" s="30" t="str">
        <x:v>商品本身已经出现，但系统仍需判断画面是否创造了新的穿着想象</x:v>
      </x:c>
      <x:c r="I7" s="30" t="str">
        <x:v>使视觉内容从“看见商品”推进到“看见怎样穿、怎样动或怎样进入生活”</x:v>
      </x:c>
      <x:c r="J7" s="30" t="str">
        <x:v>关系越具体，越需要真实制作条件和商品忠实度支撑
不适用：P2 只需展示结构细节来解释商品，或任务明确是商品目录/资料整理而非品牌内容</x:v>
      </x:c>
      <x:c r="K7" s="30" t="str">
        <x:v>不得把任意环境、道具或动作都视为有效关系；它们必须实质改变视觉主线，不能只是装饰。</x:v>
      </x:c>
      <x:c r="L7" s="30" t="str">
        <x:v>PRJ-P5-CLOSE-20260721; PRJ-MOTHER-V03; EXP-BE-VISUAL-001</x:v>
      </x:c>
      <x:c r="M7" s="30" t="str">
        <x:v>BE-V01; BE-V10</x:v>
      </x:c>
      <x:c r="N7" s="30" t="str">
        <x:v>review_candidate</x:v>
      </x:c>
    </x:row>
    <x:row r="8" ht="72" hidden="0" customHeight="1">
      <x:c r="A8" s="30" t="str">
        <x:v>B-VIS-004</x:v>
      </x:c>
      <x:c r="B8" s="30" t="str">
        <x:v>B08</x:v>
      </x:c>
      <x:c r="C8" s="30" t="str">
        <x:v>visual_variable_and_invariant</x:v>
      </x:c>
      <x:c r="D8" s="30" t="str">
        <x:v>比较或变化型画面应尽量明确一个主要变量，并保留足够不变量</x:v>
      </x:c>
      <x:c r="E8" s="30" t="str">
        <x:v>条件性专业规律</x:v>
      </x:c>
      <x:c r="F8" s="30" t="str">
        <x:v>P5,P1,P2</x:v>
      </x:c>
      <x:c r="G8" s="30" t="str">
        <x:v>当造型命题依赖前后变化、两面、两种穿法或两种状态时，保持人物、内搭、动作、光线、机位或背景中的足够条件不变，有助于受众看清真正改变的视觉关系；但不是所有 P5 都必须做控制实验式对比。</x:v>
      </x:c>
      <x:c r="H8" s="30" t="str">
        <x:v>当前视觉价值依赖“哪里变了”或“为什么看起来不同”</x:v>
      </x:c>
      <x:c r="I8" s="30" t="str">
        <x:v>增强变化的可辨识度和商品/造型关系的说服力</x:v>
      </x:c>
      <x:c r="J8" s="30" t="str">
        <x:v>保留不变量可能减少场景丰富度和视觉变化数量
不适用：命题由单一完整画面直接成立，或多场景本身就是受众要看见的穿着进入方式</x:v>
      </x:c>
      <x:c r="K8" s="30" t="str">
        <x:v>不得把动作对位、硬切或前后对比固化为所有 P5 的固定模板；不得用不同角度、滤镜和姿势伪造商品效果。</x:v>
      </x:c>
      <x:c r="L8" s="30" t="str">
        <x:v>PRJ-P5-CLOSE-20260721; PRJ-ADR-014; PRJ-CDF-D; EXP-BE-VISUAL-001</x:v>
      </x:c>
      <x:c r="M8" s="30" t="str">
        <x:v>BE-V03; BE-V11</x:v>
      </x:c>
      <x:c r="N8" s="30" t="str">
        <x:v>review_candidate</x:v>
      </x:c>
    </x:row>
    <x:row r="9" ht="72" hidden="0" customHeight="1">
      <x:c r="A9" s="30" t="str">
        <x:v>B-VIS-005</x:v>
      </x:c>
      <x:c r="B9" s="30" t="str">
        <x:v>B08</x:v>
      </x:c>
      <x:c r="C9" s="30" t="str">
        <x:v>brand_visual_structural_sensitivity</x:v>
      </x:c>
      <x:c r="D9" s="30" t="str">
        <x:v>品牌审美应实质改变视觉重音、空间、动作或节奏，而不是只加标识</x:v>
      </x:c>
      <x:c r="E9" s="30" t="str">
        <x:v>审美/创意候选</x:v>
      </x:c>
      <x:c r="F9" s="30" t="str">
        <x:v>P5,P3,P4</x:v>
      </x:c>
      <x:c r="G9" s="30" t="str">
        <x:v>同一商品与受众任务在不同品牌战略下，视觉主次、人物状态、空间距离、动作幅度、停留时间和画面秩序应可能发生结构性变化；品牌名、Logo、固定色调或滤镜不能单独证明品牌视觉成立。</x:v>
      </x:c>
      <x:c r="H9" s="30" t="str">
        <x:v>用品牌已经确认的选择与拒绝、关系姿态和审美边界，决定什么先被看见、什么被留白、人物怎样进入画面以及镜头怎样停留</x:v>
      </x:c>
      <x:c r="I9" s="30" t="str">
        <x:v>视觉重音；空间密度；人物距离；动作幅度；停留时长；光线与材质关系；环境进入方式</x:v>
      </x:c>
      <x:c r="J9" s="30" t="str">
        <x:v>不得把所有品牌都编译成低饱和、慢镜头、自然光和所谓高级感；不得把品牌差异压缩成 Logo、片尾和滤镜。</x:v>
      </x:c>
      <x:c r="K9" s="30" t="str">
        <x:v>品牌视觉组织必须来自企业已确认的品牌基线，不能由行业原型或模型偏好静默决定。</x:v>
      </x:c>
      <x:c r="L9" s="30" t="str">
        <x:v>PRJ-P5-CLOSE-20260721; PRJ-MOTHER-V03; PRJ-STRATEGY-V1; EXP-BE-VISUAL-001</x:v>
      </x:c>
      <x:c r="M9" s="30" t="str">
        <x:v>BE-V04; BE-V12</x:v>
      </x:c>
      <x:c r="N9" s="30" t="str">
        <x:v>review_candidate</x:v>
      </x:c>
    </x:row>
    <x:row r="10" ht="72" hidden="0" customHeight="1">
      <x:c r="A10" s="30" t="str">
        <x:v>B-VIS-006</x:v>
      </x:c>
      <x:c r="B10" s="30" t="str">
        <x:v>B08</x:v>
      </x:c>
      <x:c r="C10" s="30" t="str">
        <x:v>non_narrative_visual_legitimacy</x:v>
      </x:c>
      <x:c r="D10" s="30" t="str">
        <x:v>新的穿着可能可以由单帧、动作或序列直接成立，不强制故事情节</x:v>
      </x:c>
      <x:c r="E10" s="30" t="str">
        <x:v>审美/创意候选</x:v>
      </x:c>
      <x:c r="F10" s="30" t="str">
        <x:v>P5,P1,P2,P3,P4</x:v>
      </x:c>
      <x:c r="G10" s="30" t="str">
        <x:v>P5 可以通过单帧关系、穿着动作、细节—整体序列、静物与人物对照或纯视觉节奏完成；只有人物关系、事件推进或情境变化确实增加穿着想象时才需要故事。</x:v>
      </x:c>
      <x:c r="H10" s="30" t="str">
        <x:v>优先选择最能让造型关系被看见的视觉结构，而不是默认给每条内容添加人物冲突、情节反转和人生升华</x:v>
      </x:c>
      <x:c r="I10" s="30" t="str">
        <x:v>单帧直接成立；动作展开；细节到整体；整体到细节；静物与穿着；重复动作中的单变量变化</x:v>
      </x:c>
      <x:c r="J10" s="30" t="str">
        <x:v>不得为了像自媒体内容而硬造故事、对白或反转；也不得把纯视觉误解为没有主线的漂亮镜头拼贴。</x:v>
      </x:c>
      <x:c r="K10" s="30" t="str">
        <x:v>调用构图或镜头能力不自动把 P1—P4 改路由为 P5，仍应先看主要产品价值。</x:v>
      </x:c>
      <x:c r="L10" s="30" t="str">
        <x:v>PRJ-P5-CLOSE-20260721; PRJ-ADR-013; PRJ-ADR-014; EXP-BE-VISUAL-001</x:v>
      </x:c>
      <x:c r="M10" s="30" t="str">
        <x:v>BE-V13</x:v>
      </x:c>
      <x:c r="N10" s="30" t="str">
        <x:v>review_candidate</x:v>
      </x:c>
    </x:row>
  </x:sheetData>
  <x:mergeCells>
    <x:mergeCell ref="A1:N1"/>
    <x:mergeCell ref="A2:N2"/>
  </x:mergeCells>
  <x:conditionalFormatting sqref="E5:E10">
    <x:cfRule type="expression" dxfId="0" priority="1">
      <x:formula>E5="条件性专业规律"</x:formula>
    </x:cfRule>
    <x:cfRule type="expression" dxfId="1" priority="2">
      <x:formula>E5="审美/创意候选"</x:formula>
    </x:cfRule>
  </x:conditionalFormatting>
  <x:conditionalFormatting sqref="N5:N10">
    <x:cfRule type="expression" dxfId="2" priority="3">
      <x:formula>N5="review_candidate"</x:formula>
    </x:cfRule>
  </x:conditionalFormatting>
  <x:dataValidations count="1">
    <x:dataValidation type="list" sqref="N5:N10">
      <x:formula1>"review_candidate,active,revise,delete,deferred"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d1364ed2df49e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34" hidden="0" customWidth="1"/>
    <x:col min="8" max="8" width="34" hidden="0" customWidth="1"/>
    <x:col min="9" max="9" width="40" hidden="0" customWidth="1"/>
    <x:col min="10" max="10" width="34" hidden="0" customWidth="1"/>
    <x:col min="11" max="11" width="34" hidden="0" customWidth="1"/>
    <x:col min="12" max="12" width="30" hidden="0" customWidth="1"/>
    <x:col min="13" max="13" width="18" hidden="0" customWidth="1"/>
    <x:col min="14" max="14" width="18" hidden="0" customWidth="1"/>
  </x:cols>
  <x:sheetData>
    <x:row r="1" ht="19.200000762939453" hidden="0" customHeight="1">
      <x:c r="A1" s="5" t="str">
        <x:v>E 稳定媒介与制作语法方法卡目录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48" hidden="0" customHeight="1">
      <x:c r="A2" s="13" t="str">
        <x:v>平台、尺寸、时长、镜头/图片数、字幕安全区、曲库与媒体成品包继续由 D-032 决定。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/>
    <x:row r="4" ht="15" hidden="0" customHeight="1">
      <x:c r="A4" s="22" t="str">
        <x:v>ID</x:v>
      </x:c>
      <x:c r="B4" s="22" t="str">
        <x:v>需求</x:v>
      </x:c>
      <x:c r="C4" s="22" t="str">
        <x:v>主题</x:v>
      </x:c>
      <x:c r="D4" s="22" t="str">
        <x:v>方法名</x:v>
      </x:c>
      <x:c r="E4" s="22" t="str">
        <x:v>支持产品</x:v>
      </x:c>
      <x:c r="F4" s="22" t="str">
        <x:v>适合使用</x:v>
      </x:c>
      <x:c r="G4" s="22" t="str">
        <x:v>避免使用</x:v>
      </x:c>
      <x:c r="H4" s="22" t="str">
        <x:v>最低输入</x:v>
      </x:c>
      <x:c r="I4" s="22" t="str">
        <x:v>编译步骤</x:v>
      </x:c>
      <x:c r="J4" s="22" t="str">
        <x:v>成功信号</x:v>
      </x:c>
      <x:c r="K4" s="22" t="str">
        <x:v>失败模式</x:v>
      </x:c>
      <x:c r="L4" s="22" t="str">
        <x:v>依据引用</x:v>
      </x:c>
      <x:c r="M4" s="22" t="str">
        <x:v>验证夹具</x:v>
      </x:c>
      <x:c r="N4" s="22" t="str">
        <x:v>状态</x:v>
      </x:c>
    </x:row>
    <x:row r="5" ht="108" hidden="0" customHeight="1">
      <x:c r="A5" s="30" t="str">
        <x:v>E-RESOURCE-001</x:v>
      </x:c>
      <x:c r="B5" s="30" t="str">
        <x:v>E01</x:v>
      </x:c>
      <x:c r="C5" s="30" t="str">
        <x:v>resource_grammar_decoupling</x:v>
      </x:c>
      <x:c r="D5" s="30" t="str">
        <x:v>把制作资源与表现语法分开判断</x:v>
      </x:c>
      <x:c r="E5" s="30" t="str">
        <x:v>P1,P2,P3,P4,P5</x:v>
      </x:c>
      <x:c r="F5" s="30" t="str">
        <x:v>• 系统需要把同一内容任务适配到单人、双人或团队条件
• 用户先说设备/人数，容易被误解成固定内容形式</x:v>
      </x:c>
      <x:c r="G5" s="30" t="str">
        <x:v>• 用户已经明确要求某种不可替代的成果且当前资源无法完成
• 权限、真实商品或素材使用边界尚未成立</x:v>
      </x:c>
      <x:c r="H5" s="30" t="str">
        <x:v>• 主要产品价值
• 当前可用人数、设备、空间与时间约束
• 可以选择的表现语法</x:v>
      </x:c>
      <x:c r="I5" s="30" t="str">
        <x:v>1. 先写清受众必须获得的主要价值
2. 选择能承担该价值的口播、演示、旁白、对话、纯视觉或序列语法
3. 再把语法映射到当前真实资源
4. 删除需要不存在人员、设备或空间的动作</x:v>
      </x:c>
      <x:c r="J5" s="30" t="str">
        <x:v>• 单人不被自动限制为纯口播
• 团队资源不被自动要求故事化
• 主要产品价值在资源变化后保持</x:v>
      </x:c>
      <x:c r="K5" s="30" t="str">
        <x:v>• 把一人一手机等同于只能自拍口播
• 给团队任务硬加剧情和多外景
• 先选形式再寻找内容价值</x:v>
      </x:c>
      <x:c r="L5" s="30" t="str">
        <x:v>PRJ-ADR-014; PRJ-D032-BOUNDARY; PRJ-P5-CLOSE-20260721; EXP-BE-MEDIA-001</x:v>
      </x:c>
      <x:c r="M5" s="30" t="str">
        <x:v>BE-V14</x:v>
      </x:c>
      <x:c r="N5" s="30" t="str">
        <x:v>review_candidate</x:v>
      </x:c>
    </x:row>
    <x:row r="6" ht="108" hidden="0" customHeight="1">
      <x:c r="A6" s="30" t="str">
        <x:v>E-RESOURCE-002</x:v>
      </x:c>
      <x:c r="B6" s="30" t="str">
        <x:v>E01</x:v>
      </x:c>
      <x:c r="C6" s="30" t="str">
        <x:v>value_grammar_resource_order</x:v>
      </x:c>
      <x:c r="D6" s="30" t="str">
        <x:v>按“主价值—承重关系—表现语法—制作资源”顺序编译</x:v>
      </x:c>
      <x:c r="E6" s="30" t="str">
        <x:v>P1,P2,P3,P4,P5</x:v>
      </x:c>
      <x:c r="F6" s="30" t="str">
        <x:v>• 种子、商品和媒体要求同时出现，容易形成字段拼盘
• 需要决定画面、文字、动作和声音谁承担主要价值</x:v>
      </x:c>
      <x:c r="G6" s="30" t="str">
        <x:v>• 主要产品路由尚未确定
• 用户只在普通讨论而未形成可执行任务</x:v>
      </x:c>
      <x:c r="H6" s="30" t="str">
        <x:v>• 唯一主要产品合同
• 受众需要发生的主要变化
• 当前任务中的承重事实或关系
• 实际制作条件</x:v>
      </x:c>
      <x:c r="I6" s="30" t="str">
        <x:v>1. 确定拿掉哪项价值后成品会失效
2. 找出必须被看见、听见或说明的承重关系
3. 选择最短且最有竞争力的表现语法
4. 在当前资源中形成一个完整主版本</x:v>
      </x:c>
      <x:c r="J6" s="30" t="str">
        <x:v>• 成品各组成有清楚职责
• 没有九项固定清单
• 删去非必要部分后主价值更清楚</x:v>
      </x:c>
      <x:c r="K6" s="30" t="str">
        <x:v>• 先列镜头清单再寻找命题
• 每篇机械包含标题口播字幕CTA音效
• 画面与台词各说不同主题</x:v>
      </x:c>
      <x:c r="L6" s="30" t="str">
        <x:v>PRJ-ADR-013; PRJ-ADR-014; PRJ-P5-CLOSE-20260721; EXP-BE-MEDIA-001</x:v>
      </x:c>
      <x:c r="M6" s="30" t="str">
        <x:v>BE-V15</x:v>
      </x:c>
      <x:c r="N6" s="30" t="str">
        <x:v>review_candidate</x:v>
      </x:c>
    </x:row>
    <x:row r="7" ht="108" hidden="0" customHeight="1">
      <x:c r="A7" s="30" t="str">
        <x:v>E-RESOURCE-003</x:v>
      </x:c>
      <x:c r="B7" s="30" t="str">
        <x:v>E01</x:v>
      </x:c>
      <x:c r="C7" s="30" t="str">
        <x:v>single_current_version</x:v>
      </x:c>
      <x:c r="D7" s="30" t="str">
        <x:v>让当前真实条件直接塑造唯一主版本</x:v>
      </x:c>
      <x:c r="E7" s="30" t="str">
        <x:v>P1,P2,P3,P4,P5</x:v>
      </x:c>
      <x:c r="F7" s="30" t="str">
        <x:v>• 用户给出当前人数、设备、场地或是否露脸等制作条件
• 系统容易默认附加低配/高配两套方案</x:v>
      </x:c>
      <x:c r="G7" s="30" t="str">
        <x:v>• 用户明确要求多路线探索或两种独立制作成果
• 当前条件缺失且确实会改变主要成果</x:v>
      </x:c>
      <x:c r="H7" s="30" t="str">
        <x:v>• 当前制作条件
• 主要产品价值
• 不可删除的承重画面/声音/文本</x:v>
      </x:c>
      <x:c r="I7" s="30" t="str">
        <x:v>1. 以当前条件为主版本约束
2. 选用条件内可以完成的动作、机位、声音和场景
3. 对非必要复杂度直接删除而不是附“可简化”
4. 用户后续要求升级时再生成新完整版本</x:v>
      </x:c>
      <x:c r="J7" s="30" t="str">
        <x:v>• 成品可由当前人员真实执行
• 没有把无法完成的团队方案当主方案
• 不产生多余选择负担</x:v>
      </x:c>
      <x:c r="K7" s="30" t="str">
        <x:v>• 给摄影棚方案后只写一句门店可自行简化
• 同时输出高低配而内容几乎相同
• 为了低成本牺牲主要产品价值</x:v>
      </x:c>
      <x:c r="L7" s="30" t="str">
        <x:v>PRJ-ADR-014; PRJ-P5-CLOSE-20260721; PRJ-D032-BOUNDARY; EXP-BE-SOLO-001</x:v>
      </x:c>
      <x:c r="M7" s="30" t="str">
        <x:v>BE-V16</x:v>
      </x:c>
      <x:c r="N7" s="30" t="str">
        <x:v>review_candidate</x:v>
      </x:c>
    </x:row>
    <x:row r="8" ht="108" hidden="0" customHeight="1">
      <x:c r="A8" s="30" t="str">
        <x:v>E-RESOURCE-004</x:v>
      </x:c>
      <x:c r="B8" s="30" t="str">
        <x:v>E01</x:v>
      </x:c>
      <x:c r="C8" s="30" t="str">
        <x:v>team_expansion_same_contract</x:v>
      </x:c>
      <x:c r="D8" s="30" t="str">
        <x:v>团队资源只负责深化同一命题，不生成“总部版产品”</x:v>
      </x:c>
      <x:c r="E8" s="30" t="str">
        <x:v>P1,P2,P3,P4,P5</x:v>
      </x:c>
      <x:c r="F8" s="30" t="str">
        <x:v>• 总部或团队拥有更多人物、空间、灯光和后期资源
• 需要把轻制作命题扩展为更充分的视觉/媒体展开</x:v>
      </x:c>
      <x:c r="G8" s="30" t="str">
        <x:v>• 扩展后主要产品价值已经改变
• 新增场景只是为了展示预算或制作规模</x:v>
      </x:c>
      <x:c r="H8" s="30" t="str">
        <x:v>• 已成立的主要产品价值或 P5 可见造型命题
• 团队可用资源
• 品牌视觉边界</x:v>
      </x:c>
      <x:c r="I8" s="30" t="str">
        <x:v>1. 保持主价值和商品/品牌承重不变
2. 选择能够增加证据、体验或视觉层次的资源
3. 让新增人物、空间和光线承担具体职责
4. 删除只增加制作感而不增加受众价值的部分</x:v>
      </x:c>
      <x:c r="J8" s="30" t="str">
        <x:v>• 轻制作与团队版本仍可被识别为同一产品合同
• 复杂度换来可见价值而非空洞大片感</x:v>
      </x:c>
      <x:c r="K8" s="30" t="str">
        <x:v>• 团队版自动变成品牌宣传片
• 复杂布景替代商品关系
• 把总部/门店差异写死成两套方法</x:v>
      </x:c>
      <x:c r="L8" s="30" t="str">
        <x:v>PRJ-P5-CLOSE-20260721; PRJ-STRATEGY-V1; PRJ-ADR-013; EXP-BE-MEDIA-001</x:v>
      </x:c>
      <x:c r="M8" s="30" t="str">
        <x:v>BE-V17</x:v>
      </x:c>
      <x:c r="N8" s="30" t="str">
        <x:v>review_candidate</x:v>
      </x:c>
    </x:row>
    <x:row r="9" ht="108" hidden="0" customHeight="1">
      <x:c r="A9" s="30" t="str">
        <x:v>E-SOLO-001</x:v>
      </x:c>
      <x:c r="B9" s="30" t="str">
        <x:v>E02</x:v>
      </x:c>
      <x:c r="C9" s="30" t="str">
        <x:v>fixed_camera_action_zone</x:v>
      </x:c>
      <x:c r="D9" s="30" t="str">
        <x:v>用固定机位和明确动作区建立单人可执行画面</x:v>
      </x:c>
      <x:c r="E9" s="30" t="str">
        <x:v>P1,P2,P3,P4,P5</x:v>
      </x:c>
      <x:c r="F9" s="30" t="str">
        <x:v>• 一人一手机或没有摄影师
• 需要完整身体、商品轮廓或动作关系被看见</x:v>
      </x:c>
      <x:c r="G9" s="30" t="str">
        <x:v>• 必须追踪高速移动或复杂空间关系
• 固定机位会遮挡关键商品细节且无法补拍</x:v>
      </x:c>
      <x:c r="H9" s="30" t="str">
        <x:v>• 可稳定放置手机的位置
• 人物/商品活动范围
• 承重动作或画面</x:v>
      </x:c>
      <x:c r="I9" s="30" t="str">
        <x:v>1. 先确定画面必须覆盖的身体/商品范围
2. 在空间中划定可重复动作区
3. 安排进入、停留、转身和退出中的最少动作
4. 用补拍细节解决固定机位看不清的部分</x:v>
      </x:c>
      <x:c r="J9" s="30" t="str">
        <x:v>• 一个人可以独立完成
• 关键动作不会出画
• 商品关系清楚且背景干扰可控</x:v>
      </x:c>
      <x:c r="K9" s="30" t="str">
        <x:v>• 脚本出现无人可执行的跟拍
• 人物不断出画
• 机位只方便拍摄却看不清承重关系</x:v>
      </x:c>
      <x:c r="L9" s="30" t="str">
        <x:v>PRJ-P5-CLOSE-20260721; PRJ-D032-BOUNDARY; EXP-BE-SOLO-001</x:v>
      </x:c>
      <x:c r="M9" s="30" t="str">
        <x:v>BE-V18; BE-V19</x:v>
      </x:c>
      <x:c r="N9" s="30" t="str">
        <x:v>review_candidate</x:v>
      </x:c>
    </x:row>
    <x:row r="10" ht="108" hidden="0" customHeight="1">
      <x:c r="A10" s="30" t="str">
        <x:v>E-SOLO-002</x:v>
      </x:c>
      <x:c r="B10" s="30" t="str">
        <x:v>E02</x:v>
      </x:c>
      <x:c r="C10" s="30" t="str">
        <x:v>subject_movement_multiscale</x:v>
      </x:c>
      <x:c r="D10" s="30" t="str">
        <x:v>单人多景别优先靠主体距离、方向与补拍变化完成</x:v>
      </x:c>
      <x:c r="E10" s="30" t="str">
        <x:v>P1,P2,P3,P4,P5</x:v>
      </x:c>
      <x:c r="F10" s="30" t="str">
        <x:v>• 需要全身、局部和商品细节，但只有固定手机
• 视觉命题需要从整体过渡到细节或反向展开</x:v>
      </x:c>
      <x:c r="G10" s="30" t="str">
        <x:v>• 距离变化会造成严重失焦或商品颜色失真
• 用户当前空间无法安全移动</x:v>
      </x:c>
      <x:c r="H10" s="30" t="str">
        <x:v>• 固定机位
• 可移动距离
• 整体与细节各自要证明什么</x:v>
      </x:c>
      <x:c r="I10" s="30" t="str">
        <x:v>1. 用人物接近或离开改变景别
2. 整体动作保持在主机位完成
3. 停止主动作后单独补拍关键细节
4. 剪辑只保留支持同一主线的景别变化</x:v>
      </x:c>
      <x:c r="J10" s="30" t="str">
        <x:v>• 无需摄影师即可获得必要景别
• 景别变化有信息作用
• 整体与细节互相证明</x:v>
      </x:c>
      <x:c r="K10" s="30" t="str">
        <x:v>• 频繁靠近只制造动感
• 细节与整体不属于同一商品状态
• 数字变焦严重损失真实外观</x:v>
      </x:c>
      <x:c r="L10" s="30" t="str">
        <x:v>PRJ-P5-CLOSE-20260721; EXP-BE-SOLO-001</x:v>
      </x:c>
      <x:c r="M10" s="30" t="str">
        <x:v>BE-V19</x:v>
      </x:c>
      <x:c r="N10" s="30" t="str">
        <x:v>review_candidate</x:v>
      </x:c>
    </x:row>
    <x:row r="11" ht="108" hidden="0" customHeight="1">
      <x:c r="A11" s="30" t="str">
        <x:v>E-SOLO-003</x:v>
      </x:c>
      <x:c r="B11" s="30" t="str">
        <x:v>E02</x:v>
      </x:c>
      <x:c r="C11" s="30" t="str">
        <x:v>action_continuity_cut_point</x:v>
      </x:c>
      <x:c r="D11" s="30" t="str">
        <x:v>把切点放在可重复动作上，用动作连续保持关系清楚</x:v>
      </x:c>
      <x:c r="E11" s="30" t="str">
        <x:v>P1,P2,P3,P4,P5</x:v>
      </x:c>
      <x:c r="F11" s="30" t="str">
        <x:v>• 需要在同一动作中切换商品面、穿着状态、景别或场景
• 单人制作希望降低复杂转场难度</x:v>
      </x:c>
      <x:c r="G11" s="30" t="str">
        <x:v>• 动作不能稳定复现
• 切换会让商品状态或事件真实性被误解</x:v>
      </x:c>
      <x:c r="H11" s="30" t="str">
        <x:v>• 可重复动作
• 切换前后的主要变量
• 需要保持不变的条件</x:v>
      </x:c>
      <x:c r="I11" s="30" t="str">
        <x:v>1. 选择自然且能重复的动作节点
2. 记录切换前动作的方向与速度
3. 切换后从相同动作位置继续
4. 检查观众是否能看清变量而不是只注意转场</x:v>
      </x:c>
      <x:c r="J11" s="30" t="str">
        <x:v>• 动作连续帮助看清变化
• 转场不抢走商品关系
• 一人可重复完成</x:v>
      </x:c>
      <x:c r="K11" s="30" t="str">
        <x:v>• 动作对位不准像普通换装
• 每条内容都复制同一转场
• 用转场掩盖商品差异不足</x:v>
      </x:c>
      <x:c r="L11" s="30" t="str">
        <x:v>PRJ-P5-CLOSE-20260721; PRJ-CDF-D; EXP-BE-SOLO-001</x:v>
      </x:c>
      <x:c r="M11" s="30" t="str">
        <x:v>BE-V01; BE-V20</x:v>
      </x:c>
      <x:c r="N11" s="30" t="str">
        <x:v>review_candidate</x:v>
      </x:c>
    </x:row>
    <x:row r="12" ht="108" hidden="0" customHeight="1">
      <x:c r="A12" s="30" t="str">
        <x:v>E-SOLO-004</x:v>
      </x:c>
      <x:c r="B12" s="30" t="str">
        <x:v>E02</x:v>
      </x:c>
      <x:c r="C12" s="30" t="str">
        <x:v>store_space_natural_light</x:v>
      </x:c>
      <x:c r="D12" s="30" t="str">
        <x:v>把普通门店空间和自然光作为可控条件，而不是自动升级成布景</x:v>
      </x:c>
      <x:c r="E12" s="30" t="str">
        <x:v>P1,P2,P3,P4,P5</x:v>
      </x:c>
      <x:c r="F12" s="30" t="str">
        <x:v>• 门店、办公室或自然空间就是当前真实制作环境
• 需要低成本完成商品、人物和品牌空间关系</x:v>
      </x:c>
      <x:c r="G12" s="30" t="str">
        <x:v>• 背景包含未经授权人物或敏感信息
• 光线会严重改变商品颜色/纹理且无法调整
• 空间本身会被误解为经营陈列实况主张</x:v>
      </x:c>
      <x:c r="H12" s="30" t="str">
        <x:v>• 可用拍摄区域
• 主光方向
• 背景中的干扰与敏感元素
• 商品真实颜色/结构</x:v>
      </x:c>
      <x:c r="I12" s="30" t="str">
        <x:v>1. 选择不干扰主体的方向
2. 优先调整人物与机位而非重造场景
3. 清理会误导或暴露信息的背景
4. 确认光线下商品外观仍可被真实判断</x:v>
      </x:c>
      <x:c r="J12" s="30" t="str">
        <x:v>• 空间服务主线而不喧宾夺主
• 商品外观可辨
• 没有冒充已执行经营陈列或现场结果</x:v>
      </x:c>
      <x:c r="K12" s="30" t="str">
        <x:v>• 用门店背景就声称当前陈列方案已执行
• 为了氛围让商品颜色失真
• 背景顾客和信息未经处理</x:v>
      </x:c>
      <x:c r="L12" s="30" t="str">
        <x:v>PRJ-ADR-002; PRJ-ADR-008; PRJ-P5-CLOSE-20260721; EXP-BE-SOLO-001</x:v>
      </x:c>
      <x:c r="M12" s="30" t="str">
        <x:v>BE-V19</x:v>
      </x:c>
      <x:c r="N12" s="30" t="str">
        <x:v>review_candidate</x:v>
      </x:c>
    </x:row>
    <x:row r="13" ht="108" hidden="0" customHeight="1">
      <x:c r="A13" s="30" t="str">
        <x:v>E-FORM-001</x:v>
      </x:c>
      <x:c r="B13" s="30" t="str">
        <x:v>E03</x:v>
      </x:c>
      <x:c r="C13" s="30" t="str">
        <x:v>form_selected_by_product_value</x:v>
      </x:c>
      <x:c r="D13" s="30" t="str">
        <x:v>根据主要产品价值选择表现语法，不让形式反向决定路由</x:v>
      </x:c>
      <x:c r="E13" s="30" t="str">
        <x:v>P1,P2,P3,P4,P5</x:v>
      </x:c>
      <x:c r="F13" s="30" t="str">
        <x:v>• 同一主题可以口播、演示、旁白、对话或纯视觉
• 系统需要判断哪种形式最能完成当前 P1—P5 价值</x:v>
      </x:c>
      <x:c r="G13" s="30" t="str">
        <x:v>• 用户明确要求的媒体成果与当前能力冲突且无法降级
• 形式要求本身已经构成另一项独立成果</x:v>
      </x:c>
      <x:c r="H13" s="30" t="str">
        <x:v>• 唯一主要产品合同
• 受众主要变化
• 承重内容
• 实际制作条件</x:v>
      </x:c>
      <x:c r="I13" s="30" t="str">
        <x:v>1. 先确认 P1—P5 主价值
2. 判断价值主要由判断、解释、人格反应、关系回应还是视觉穿着可能承担
3. 选择最少且最有效的表现语法
4. 检查形式变化后主产品是否仍成立</x:v>
      </x:c>
      <x:c r="J13" s="30" t="str">
        <x:v>• 形式服务价值
• 同一主题可跨形式改写而不丢主合同
• 用户不需要理解 P1—P5 标签</x:v>
      </x:c>
      <x:c r="K13" s="30" t="str">
        <x:v>• 有画面就误路由 P5
• 有商品就误路由 P2
• 为了短视频默认加剧情</x:v>
      </x:c>
      <x:c r="L13" s="30" t="str">
        <x:v>PRJ-ADR-013; PRJ-ADR-014; PRJ-MOTHER-V03; EXP-BE-MEDIA-001</x:v>
      </x:c>
      <x:c r="M13" s="30" t="str">
        <x:v>BE-V21</x:v>
      </x:c>
      <x:c r="N13" s="30" t="str">
        <x:v>review_candidate</x:v>
      </x:c>
    </x:row>
    <x:row r="14" ht="108" hidden="0" customHeight="1">
      <x:c r="A14" s="30" t="str">
        <x:v>E-FORM-002</x:v>
      </x:c>
      <x:c r="B14" s="30" t="str">
        <x:v>E03</x:v>
      </x:c>
      <x:c r="C14" s="30" t="str">
        <x:v>pure_visual</x:v>
      </x:c>
      <x:c r="D14" s="30" t="str">
        <x:v>纯视觉只在主要关系无需语言补证时使用</x:v>
      </x:c>
      <x:c r="E14" s="30" t="str">
        <x:v>P5,P1,P2,P3,P4</x:v>
      </x:c>
      <x:c r="F14" s="30" t="str">
        <x:v>• 商品、身体、动作或环境关系已经可由画面直接被看见
• 语言会重复画面或削弱观看节奏</x:v>
      </x:c>
      <x:c r="G14" s="30" t="str">
        <x:v>• 受众无法从画面理解关键条件、代价或事实边界
• 只有抽象氛围，没有可复述的视觉主线</x:v>
      </x:c>
      <x:c r="H14" s="30" t="str">
        <x:v>• 可见主线
• 真实商品/人物/环境条件
• 首个视觉入口与展开方式</x:v>
      </x:c>
      <x:c r="I14" s="30" t="str">
        <x:v>1. 确认删去语言后价值仍成立
2. 用画面入口给出观看承诺
3. 按动作或顺序展开同一关系
4. 只在必要时用极少文字定位</x:v>
      </x:c>
      <x:c r="J14" s="30" t="str">
        <x:v>• 关闭声音仍能识别主要关系
• 文字删除后不丢核心命题
• 商品外观真实可判断</x:v>
      </x:c>
      <x:c r="K14" s="30" t="str">
        <x:v>• 只能靠标题解释发生了什么
• 画面只是普通站姿和滤镜
• 无声后只剩商品展示</x:v>
      </x:c>
      <x:c r="L14" s="30" t="str">
        <x:v>PRJ-P5-CLOSE-20260721; EXP-BE-MEDIA-001</x:v>
      </x:c>
      <x:c r="M14" s="30" t="str">
        <x:v>BE-V13</x:v>
      </x:c>
      <x:c r="N14" s="30" t="str">
        <x:v>review_candidate</x:v>
      </x:c>
    </x:row>
    <x:row r="15" ht="108" hidden="0" customHeight="1">
      <x:c r="A15" s="30" t="str">
        <x:v>E-FORM-003</x:v>
      </x:c>
      <x:c r="B15" s="30" t="str">
        <x:v>E03</x:v>
      </x:c>
      <x:c r="C15" s="30" t="str">
        <x:v>talk_and_demonstrate</x:v>
      </x:c>
      <x:c r="D15" s="30" t="str">
        <x:v>边讲边演示时，让话语只解释动作无法独立说明的部分</x:v>
      </x:c>
      <x:c r="E15" s="30" t="str">
        <x:v>P1,P2,P4,P5,P3</x:v>
      </x:c>
      <x:c r="F15" s="30" t="str">
        <x:v>• 判断或商品取舍需要与穿着动作、结构细节或视觉变化同步
• 纯口播会缺少证明，纯画面会缺少条件</x:v>
      </x:c>
      <x:c r="G15" s="30" t="str">
        <x:v>• 演示与话语各自形成不同主线
• 动作只是手舞足蹈而不提供信息</x:v>
      </x:c>
      <x:c r="H15" s="30" t="str">
        <x:v>• 要解释的判断或条件
• 可见演示动作
• 话语与动作的分工</x:v>
      </x:c>
      <x:c r="I15" s="30" t="str">
        <x:v>1. 先让动作呈现可观察部分
2. 只用一句话解释条件或取舍
3. 把下一句放在对应动作出现时
4. 删除画面已经充分表达的重复描述</x:v>
      </x:c>
      <x:c r="J15" s="30" t="str">
        <x:v>• 话语和动作互补
• 受众能同时看见证据和听懂边界
• 关闭画面或关闭声音都会损失部分价值但不相互重复</x:v>
      </x:c>
      <x:c r="K15" s="30" t="str">
        <x:v>• 边走边念商品参数
• 台词先后与动作无关
• 用字幕代替真正演示</x:v>
      </x:c>
      <x:c r="L15" s="30" t="str">
        <x:v>PRJ-ADR-014; PRJ-CDF-D; EXP-BE-MEDIA-001</x:v>
      </x:c>
      <x:c r="M15" s="30" t="str">
        <x:v>BE-V22</x:v>
      </x:c>
      <x:c r="N15" s="30" t="str">
        <x:v>review_candidate</x:v>
      </x:c>
    </x:row>
    <x:row r="16" ht="108" hidden="0" customHeight="1">
      <x:c r="A16" s="30" t="str">
        <x:v>E-FORM-004</x:v>
      </x:c>
      <x:c r="B16" s="30" t="str">
        <x:v>E03</x:v>
      </x:c>
      <x:c r="C16" s="30" t="str">
        <x:v>voiceover</x:v>
      </x:c>
      <x:c r="D16" s="30" t="str">
        <x:v>旁白用于保留视觉连续和关系空间，不替画面作证</x:v>
      </x:c>
      <x:c r="E16" s="30" t="str">
        <x:v>P2,P3,P4,P5,P1</x:v>
      </x:c>
      <x:c r="F16" s="30" t="str">
        <x:v>• 画面需要连续展开而出镜口播会打断动作
• 账号观点或专业解释可以后置覆盖</x:v>
      </x:c>
      <x:c r="G16" s="30" t="str">
        <x:v>• 旁白声称画面没有显示的商品结果或现实事件
• 受众需要明确看见发声者身份才理解关系</x:v>
      </x:c>
      <x:c r="H16" s="30" t="str">
        <x:v>• 连续画面主线
• 旁白承担的解释/观点职责
• 账号与角色合法位置</x:v>
      </x:c>
      <x:c r="I16" s="30" t="str">
        <x:v>1. 先完成无旁白也成立的画面顺序
2. 只把条件、观点或关系姿态交给旁白
3. 保留必要环境/衣料声
4. 删除旁白中对画面的逐帧复述</x:v>
      </x:c>
      <x:c r="J16" s="30" t="str">
        <x:v>• 画面节奏完整
• 旁白增加理解而不压住商品/动作
• 身份与事实边界清楚</x:v>
      </x:c>
      <x:c r="K16" s="30" t="str">
        <x:v>• 旁白替代不可见证据
• 全程解释每一个动作
• 用品牌口号覆盖画面</x:v>
      </x:c>
      <x:c r="L16" s="30" t="str">
        <x:v>PRJ-ADR-014; PRJ-P5-CLOSE-20260721; EXP-BE-MEDIA-001</x:v>
      </x:c>
      <x:c r="M16" s="30" t="str">
        <x:v>BE-V22</x:v>
      </x:c>
      <x:c r="N16" s="30" t="str">
        <x:v>review_candidate</x:v>
      </x:c>
    </x:row>
    <x:row r="17" ht="108" hidden="0" customHeight="1">
      <x:c r="A17" s="30" t="str">
        <x:v>E-FORM-005</x:v>
      </x:c>
      <x:c r="B17" s="30" t="str">
        <x:v>E03</x:v>
      </x:c>
      <x:c r="C17" s="30" t="str">
        <x:v>dialogue_and_qa</x:v>
      </x:c>
      <x:c r="D17" s="30" t="str">
        <x:v>对话和问答只在关系或观点差异承担价值时使用</x:v>
      </x:c>
      <x:c r="E17" s="30" t="str">
        <x:v>P3,P4,P1,P2,P5</x:v>
      </x:c>
      <x:c r="F17" s="30" t="str">
        <x:v>• 不同角色位置、真实问题或关系距离是主要价值的一部分
• 一个问题需要以现场回应形成观看价值</x:v>
      </x:c>
      <x:c r="G17" s="30" t="str">
        <x:v>• 只是为了热闹增加第二个人
• 没有真实评论/关系前提却冒充顾客对话
• 一人任务无法完成双人场面且未明确演绎</x:v>
      </x:c>
      <x:c r="H17" s="30" t="str">
        <x:v>• 问题或观点差异
• 双方角色位置
• 真实/假设/演绎口径</x:v>
      </x:c>
      <x:c r="I17" s="30" t="str">
        <x:v>1. 明确谁为什么会说这句话
2. 只保留推动主价值的问答
3. 真实种子保持承重前提
4. 假设或戏剧化内容按规则呈现</x:v>
      </x:c>
      <x:c r="J17" s="30" t="str">
        <x:v>• 关系位置清楚
• 删除任一方会损失主要价值
• 没有无依据真人履历和结果</x:v>
      </x:c>
      <x:c r="K17" s="30" t="str">
        <x:v>• 第二个人只是递话筒
• 强行编顾客反应
• 每条内容都套问答</x:v>
      </x:c>
      <x:c r="L17" s="30" t="str">
        <x:v>PRJ-ADR-014; PRJ-CDF-D; PRJ-ADR-006; EXP-BE-MEDIA-001</x:v>
      </x:c>
      <x:c r="M17" s="30" t="str">
        <x:v>BE-V23</x:v>
      </x:c>
      <x:c r="N17" s="30" t="str">
        <x:v>review_candidate</x:v>
      </x:c>
    </x:row>
    <x:row r="18" ht="108" hidden="0" customHeight="1">
      <x:c r="A18" s="30" t="str">
        <x:v>E-FORM-006</x:v>
      </x:c>
      <x:c r="B18" s="30" t="str">
        <x:v>E03</x:v>
      </x:c>
      <x:c r="C18" s="30" t="str">
        <x:v>single_image_and_image_sequence</x:v>
      </x:c>
      <x:c r="D18" s="30" t="str">
        <x:v>单帧、图片组和静物序列按关系展开需要选择</x:v>
      </x:c>
      <x:c r="E18" s="30" t="str">
        <x:v>P1,P2,P3,P4,P5</x:v>
      </x:c>
      <x:c r="F18" s="30" t="str">
        <x:v>• 任务可以由一张主图直接成立，或需要多个画面按顺序展开
• 没有视频制作条件但仍需完整视觉成品</x:v>
      </x:c>
      <x:c r="G18" s="30" t="str">
        <x:v>• 图片组只是把同一站姿重复多次
• 顺序与受众理解无关
• 静物图无法承担穿着关系却仍标 P5</x:v>
      </x:c>
      <x:c r="H18" s="30" t="str">
        <x:v>• 一张主图或序列中每张图的职责
• 可见主线
• 必要文字与顺序</x:v>
      </x:c>
      <x:c r="I18" s="30" t="str">
        <x:v>1. 先判断单帧能否完整表达
2. 若不能，给每张图分配唯一作用：入口、关系、变化、细节或完成
3. 按理解顺序排列
4. 删除只增加数量的重复图</x:v>
      </x:c>
      <x:c r="J18" s="30" t="str">
        <x:v>• 首图/主图承担明确承诺
• 每张图不可被无损删除
• 序列不依赖平台固定数量</x:v>
      </x:c>
      <x:c r="K18" s="30" t="str">
        <x:v>• 九宫格只是换姿势
• 每图都重复标题
• 图片组没有完成主要产品价值</x:v>
      </x:c>
      <x:c r="L18" s="30" t="str">
        <x:v>PRJ-D032-BOUNDARY; PRJ-P5-CLOSE-20260721; EXP-BE-MEDIA-001</x:v>
      </x:c>
      <x:c r="M18" s="30" t="str">
        <x:v>BE-V24</x:v>
      </x:c>
      <x:c r="N18" s="30" t="str">
        <x:v>review_candidate</x:v>
      </x:c>
    </x:row>
    <x:row r="19" ht="108" hidden="0" customHeight="1">
      <x:c r="A19" s="30" t="str">
        <x:v>E-TIME-001</x:v>
      </x:c>
      <x:c r="B19" s="30" t="str">
        <x:v>E04</x:v>
      </x:c>
      <x:c r="C19" s="30" t="str">
        <x:v>natural_duration</x:v>
      </x:c>
      <x:c r="D19" s="30" t="str">
        <x:v>用能完整兑现主价值且无冗余的自然时长</x:v>
      </x:c>
      <x:c r="E19" s="30" t="str">
        <x:v>P1,P2,P3,P4,P5</x:v>
      </x:c>
      <x:c r="F19" s="30" t="str">
        <x:v>• 用户未指定严格时长
• 不同内容需要不同的判断、关系或视觉展开长度</x:v>
      </x:c>
      <x:c r="G19" s="30" t="str">
        <x:v>• 平台或用户已经给出明确上限
• 内容因所谓完整而不断加解释、情节或重复镜头</x:v>
      </x:c>
      <x:c r="H19" s="30" t="str">
        <x:v>• 主要产品价值
• 不可删除的承重段落/画面/声音
• 当前媒体和制作条件</x:v>
      </x:c>
      <x:c r="I19" s="30" t="str">
        <x:v>1. 列出每一段唯一作用
2. 删除同义重复与无职责片段
3. 保证关键边界和视觉完成不被压掉
4. 以实际完成后的最短连贯长度作为自然时长</x:v>
      </x:c>
      <x:c r="J19" s="30" t="str">
        <x:v>• 长度来自内容需要
• 没有课堂化注水
• 主价值、事实和边界完整</x:v>
      </x:c>
      <x:c r="K19" s="30" t="str">
        <x:v>• 所有内容统一30秒
• 为了完整重复观点
• 为了短而删掉反选或承重视觉</x:v>
      </x:c>
      <x:c r="L19" s="30" t="str">
        <x:v>PRJ-D032-BOUNDARY; PRJ-ADR-014; PRJ-CDF-D; EXP-BE-MEDIA-001</x:v>
      </x:c>
      <x:c r="M19" s="30" t="str">
        <x:v>BE-V25</x:v>
      </x:c>
      <x:c r="N19" s="30" t="str">
        <x:v>review_candidate</x:v>
      </x:c>
    </x:row>
    <x:row r="20" ht="108" hidden="0" customHeight="1">
      <x:c r="A20" s="30" t="str">
        <x:v>E-TIME-002</x:v>
      </x:c>
      <x:c r="B20" s="30" t="str">
        <x:v>E04</x:v>
      </x:c>
      <x:c r="C20" s="30" t="str">
        <x:v>shortening_recompile</x:v>
      </x:c>
      <x:c r="D20" s="30" t="str">
        <x:v>缩短时按功能重新编排，不从尾部机械截断</x:v>
      </x:c>
      <x:c r="E20" s="30" t="str">
        <x:v>P1,P2,P3,P4,P5</x:v>
      </x:c>
      <x:c r="F20" s="30" t="str">
        <x:v>• 用户要求更短版本或平台时长收紧
• 当前版本包含可压缩解释和重复</x:v>
      </x:c>
      <x:c r="G20" s="30" t="str">
        <x:v>• 目标长度无法容纳主要产品价值与必要事实
• 缩短会导致 P5 视觉关系或 P1/P2 边界丢失</x:v>
      </x:c>
      <x:c r="H20" s="30" t="str">
        <x:v>• 源版本的主价值、核心结论、事实和承重画面
• 目标时长/长度
• 可删除与不可删除部分</x:v>
      </x:c>
      <x:c r="I20" s="30" t="str">
        <x:v>1. 给每段标记功能
2. 合并重复功能
3. 把解释移动到最需要的位置
4. 重写开头和结尾以形成完整短版
5. 无法成立时明确请求更长或改变媒体</x:v>
      </x:c>
      <x:c r="J20" s="30" t="str">
        <x:v>• 短版仍完成同一主要产品合同
• 没有丢品牌/账号身份和商品绑定
• 不是机械剪掉后半段</x:v>
      </x:c>
      <x:c r="K20" s="30" t="str">
        <x:v>• 只删结尾导致无行动或无收束
• 只保留口号
• P5 只剩字幕没有承重画面</x:v>
      </x:c>
      <x:c r="L20" s="30" t="str">
        <x:v>PRJ-ADR-014; PRJ-D032-BOUNDARY; PRJ-CDF-D; EXP-BE-MEDIA-001</x:v>
      </x:c>
      <x:c r="M20" s="30" t="str">
        <x:v>BE-V26</x:v>
      </x:c>
      <x:c r="N20" s="30" t="str">
        <x:v>review_candidate</x:v>
      </x:c>
    </x:row>
    <x:row r="21" ht="108" hidden="0" customHeight="1">
      <x:c r="A21" s="30" t="str">
        <x:v>E-TIME-003</x:v>
      </x:c>
      <x:c r="B21" s="30" t="str">
        <x:v>E04</x:v>
      </x:c>
      <x:c r="C21" s="30" t="str">
        <x:v>lengthening_deepen</x:v>
      </x:c>
      <x:c r="D21" s="30" t="str">
        <x:v>延长时增加证据、体验或关系层次，不重复同一观点</x:v>
      </x:c>
      <x:c r="E21" s="30" t="str">
        <x:v>P1,P2,P3,P4,P5</x:v>
      </x:c>
      <x:c r="F21" s="30" t="str">
        <x:v>• 用户要求更长版本
• 当前主线有真实可展开的条件、证据、动作或关系</x:v>
      </x:c>
      <x:c r="G21" s="30" t="str">
        <x:v>• 没有新的信息职责
• 只能通过更多形容词、场景和金句延长</x:v>
      </x:c>
      <x:c r="H21" s="30" t="str">
        <x:v>• 源版本主价值
• 可以深化的真实信息或制作资源
• 不应改变的核心结论与事实</x:v>
      </x:c>
      <x:c r="I21" s="30" t="str">
        <x:v>1. 选择一个真正增加理解的维度
2. 加入对应的证据、动作或关系
3. 重新分配节奏和入口
4. 删除只是换说法的重复段落</x:v>
      </x:c>
      <x:c r="J21" s="30" t="str">
        <x:v>• 每个新增段落有唯一职责
• 长版获得更深理解而非更慢
• 主线仍单一</x:v>
      </x:c>
      <x:c r="K21" s="30" t="str">
        <x:v>• 同义反复
• 多加三套穿法
• 强行人生升华
• 复杂运镜无信息增量</x:v>
      </x:c>
      <x:c r="L21" s="30" t="str">
        <x:v>PRJ-D032-BOUNDARY; PRJ-CDF-D; EXP-BE-MEDIA-001</x:v>
      </x:c>
      <x:c r="M21" s="30" t="str">
        <x:v>BE-V26</x:v>
      </x:c>
      <x:c r="N21" s="30" t="str">
        <x:v>review_candidate</x:v>
      </x:c>
    </x:row>
    <x:row r="22" ht="108" hidden="0" customHeight="1">
      <x:c r="A22" s="30" t="str">
        <x:v>E-ADAPT-001</x:v>
      </x:c>
      <x:c r="B22" s="30" t="str">
        <x:v>E04</x:v>
      </x:c>
      <x:c r="C22" s="30" t="str">
        <x:v>cross_format_invariants</x:v>
      </x:c>
      <x:c r="D22" s="30" t="str">
        <x:v>跨媒体改写保持业务不变量，重新组织表现变量</x:v>
      </x:c>
      <x:c r="E22" s="30" t="str">
        <x:v>P1,P2,P3,P4,P5</x:v>
      </x:c>
      <x:c r="F22" s="30" t="str">
        <x:v>• 同一主题要改为视频、图文、图片组、口播或其他制作方式
• 制作条件发生变化但主要成果不变</x:v>
      </x:c>
      <x:c r="G22" s="30" t="str">
        <x:v>• 新请求实质改变主要成果或形成另一项独立成品
• 源版本的事实、商品或账号身份已经失效</x:v>
      </x:c>
      <x:c r="H22" s="30" t="str">
        <x:v>• 主要产品价值
• 核心结论/人格反应/关系回报/造型命题
• 品牌账号身份
• 商品与事实绑定
• 新媒体条件</x:v>
      </x:c>
      <x:c r="I22" s="30" t="str">
        <x:v>1. 冻结业务不变量
2. 识别新媒体最强的表达能力
3. 重新设计入口、顺序、文字、声音和动作
4. 生成新完整版本并进入同一任务版本链</x:v>
      </x:c>
      <x:c r="J22" s="30" t="str">
        <x:v>• 换媒体后仍完成同一产品价值
• 没有照搬脚本文字到所有媒体
• 事实和账号身份保持</x:v>
      </x:c>
      <x:c r="K22" s="30" t="str">
        <x:v>• 把视频逐句拆成图文
• 只裁切横竖尺寸
• 改写后 P5 视觉命题或 P1/P2 核心判断消失</x:v>
      </x:c>
      <x:c r="L22" s="30" t="str">
        <x:v>PRJ-ADR-014; PRJ-D032-BOUNDARY; EXP-BE-MEDIA-001</x:v>
      </x:c>
      <x:c r="M22" s="30" t="str">
        <x:v>BE-V26</x:v>
      </x:c>
      <x:c r="N22" s="30" t="str">
        <x:v>review_candidate</x:v>
      </x:c>
    </x:row>
    <x:row r="23" ht="108" hidden="0" customHeight="1">
      <x:c r="A23" s="30" t="str">
        <x:v>E-VISUAL-001</x:v>
      </x:c>
      <x:c r="B23" s="30" t="str">
        <x:v>E05</x:v>
      </x:c>
      <x:c r="C23" s="30" t="str">
        <x:v>first_visual_entry</x:v>
      </x:c>
      <x:c r="D23" s="30" t="str">
        <x:v>让第一个主要视觉入口先给出具体观看承诺</x:v>
      </x:c>
      <x:c r="E23" s="30" t="str">
        <x:v>P5,P1,P2,P3,P4</x:v>
      </x:c>
      <x:c r="F23" s="30" t="str">
        <x:v>• 视觉承担主要或重要价值
• 用户需要封面、首图、开场或第一画面</x:v>
      </x:c>
      <x:c r="G23" s="30" t="str">
        <x:v>• 入口只能靠抽象标题解释
• 为了抓人伪造商品、身体或事件结果</x:v>
      </x:c>
      <x:c r="H23" s="30" t="str">
        <x:v>• 主要产品价值
• 可见主线
• 当前媒体的第一视觉入口</x:v>
      </x:c>
      <x:c r="I23" s="30" t="str">
        <x:v>1. 决定受众第一眼要注意什么
2. 在首个入口露出一项具体关系或张力
3. 完整解释可在后续展开
4. 删除与承诺无关的通用暖场</x:v>
      </x:c>
      <x:c r="J23" s="30" t="str">
        <x:v>• 第一主要画面已经可感知内容承诺
• 后续是在兑现而非重新开题
• 不依赖万能标题</x:v>
      </x:c>
      <x:c r="K23" s="30" t="str">
        <x:v>• 普通站姿+高级感标题
• 开场与正文无关
• 用夸张动作掩盖命题不足</x:v>
      </x:c>
      <x:c r="L23" s="30" t="str">
        <x:v>PRJ-P5-CLOSE-20260721; PRJ-D032-BOUNDARY; EXP-BE-MEDIA-001</x:v>
      </x:c>
      <x:c r="M23" s="30" t="str">
        <x:v>BE-V27</x:v>
      </x:c>
      <x:c r="N23" s="30" t="str">
        <x:v>review_candidate</x:v>
      </x:c>
    </x:row>
    <x:row r="24" ht="108" hidden="0" customHeight="1">
      <x:c r="A24" s="30" t="str">
        <x:v>E-VISUAL-002</x:v>
      </x:c>
      <x:c r="B24" s="30" t="str">
        <x:v>E05</x:v>
      </x:c>
      <x:c r="C24" s="30" t="str">
        <x:v>visual_hierarchy</x:v>
      </x:c>
      <x:c r="D24" s="30" t="str">
        <x:v>用主次、留白、对比和空间关系控制观看路径</x:v>
      </x:c>
      <x:c r="E24" s="30" t="str">
        <x:v>P5,P1,P2,P3,P4</x:v>
      </x:c>
      <x:c r="F24" s="30" t="str">
        <x:v>• 画面中商品、人物、背景和文字同时存在
• 需要让一个视觉重音先被看见</x:v>
      </x:c>
      <x:c r="G24" s="30" t="str">
        <x:v>• 所有元素都被要求同等突出
• 品牌视觉边界尚未确认却用通用审美替代</x:v>
      </x:c>
      <x:c r="H24" s="30" t="str">
        <x:v>• 主视觉重音
• 支持元素
• 背景与文字职责</x:v>
      </x:c>
      <x:c r="I24" s="30" t="str">
        <x:v>1. 确定唯一首要注意点
2. 降低非承重元素的对比或面积
3. 用位置、方向、停留或留白引导下一步
4. 检查品牌结构是否实质参与</x:v>
      </x:c>
      <x:c r="J24" s="30" t="str">
        <x:v>• 受众能说出先看到什么、再看到什么
• 背景不抢主线
• 品牌变化会使层级重写</x:v>
      </x:c>
      <x:c r="K24" s="30" t="str">
        <x:v>• 所有商品并列陈列
• 文字比商品更抢眼
• 滤镜统一但视觉秩序没有品牌差异</x:v>
      </x:c>
      <x:c r="L24" s="30" t="str">
        <x:v>PRJ-AB-B08; PRJ-P5-CLOSE-20260721; EXP-BE-VISUAL-001</x:v>
      </x:c>
      <x:c r="M24" s="30" t="str">
        <x:v>BE-V27</x:v>
      </x:c>
      <x:c r="N24" s="30" t="str">
        <x:v>review_candidate</x:v>
      </x:c>
    </x:row>
    <x:row r="25" ht="108" hidden="0" customHeight="1">
      <x:c r="A25" s="30" t="str">
        <x:v>E-VISUAL-003</x:v>
      </x:c>
      <x:c r="B25" s="30" t="str">
        <x:v>E05</x:v>
      </x:c>
      <x:c r="C25" s="30" t="str">
        <x:v>visual_sequence_progression</x:v>
      </x:c>
      <x:c r="D25" s="30" t="str">
        <x:v>让图片或镜头顺序完成入口、展开和完成，而不是堆镜头</x:v>
      </x:c>
      <x:c r="E25" s="30" t="str">
        <x:v>P5,P1,P2,P3,P4</x:v>
      </x:c>
      <x:c r="F25" s="30" t="str">
        <x:v>• 单帧不足以表达完整关系
• 内容需要通过动作、比较或细节逐步被理解</x:v>
      </x:c>
      <x:c r="G25" s="30" t="str">
        <x:v>• 顺序可任意交换而不影响理解
• 每个镜头都只是不同姿势的重复</x:v>
      </x:c>
      <x:c r="H25" s="30" t="str">
        <x:v>• 序列主线
• 每一段/图的唯一职责
• 完成条件</x:v>
      </x:c>
      <x:c r="I25" s="30" t="str">
        <x:v>1. 先给入口承诺
2. 第二步让关系或变量被看见
3. 第三步补足必要细节或生活进入
4. 在命题已经完成处停止</x:v>
      </x:c>
      <x:c r="J25" s="30" t="str">
        <x:v>• 顺序改变会损害理解
• 每个镜头有唯一职责
• 结尾完成主线而非自动CTA/升华</x:v>
      </x:c>
      <x:c r="K25" s="30" t="str">
        <x:v>• 镜头越多越完整
• 每段重新开题
• 结尾另起品牌宣言</x:v>
      </x:c>
      <x:c r="L25" s="30" t="str">
        <x:v>PRJ-P5-CLOSE-20260721; PRJ-CDF-D; PRJ-D032-BOUNDARY; EXP-BE-MEDIA-001</x:v>
      </x:c>
      <x:c r="M25" s="30" t="str">
        <x:v>BE-V27</x:v>
      </x:c>
      <x:c r="N25" s="30" t="str">
        <x:v>review_candidate</x:v>
      </x:c>
    </x:row>
    <x:row r="26" ht="108" hidden="0" customHeight="1">
      <x:c r="A26" s="30" t="str">
        <x:v>E-VISUAL-004</x:v>
      </x:c>
      <x:c r="B26" s="30" t="str">
        <x:v>E05</x:v>
      </x:c>
      <x:c r="C26" s="30" t="str">
        <x:v>motion_continuity</x:v>
      </x:c>
      <x:c r="D26" s="30" t="str">
        <x:v>动作连续应服务视觉理解，不为转场炫技</x:v>
      </x:c>
      <x:c r="E26" s="30" t="str">
        <x:v>P5,P1,P2,P3,P4</x:v>
      </x:c>
      <x:c r="F26" s="30" t="str">
        <x:v>• 跨镜头展示同一动作或同一商品状态变化
• 需要减少剪辑断裂</x:v>
      </x:c>
      <x:c r="G26" s="30" t="str">
        <x:v>• 动作连续会掩盖真实时间/场景差异
• 承重变化无法稳定重复</x:v>
      </x:c>
      <x:c r="H26" s="30" t="str">
        <x:v>• 动作方向与起止点
• 镜头间保持/改变的条件
• 受众要看见的关系</x:v>
      </x:c>
      <x:c r="I26" s="30" t="str">
        <x:v>1. 确定动作的视觉职责
2. 保持方向、速度或姿态关键点
3. 切换后立即兑现同一动作
4. 删除只为转场存在的额外动作</x:v>
      </x:c>
      <x:c r="J26" s="30" t="str">
        <x:v>• 切点不妨碍理解
• 受众注意变化而非技巧
• 实际性口径清楚</x:v>
      </x:c>
      <x:c r="K26" s="30" t="str">
        <x:v>• 对位不准
• 每条内容同一换装转场
• 通过剪辑伪造穿着结果</x:v>
      </x:c>
      <x:c r="L26" s="30" t="str">
        <x:v>PRJ-P5-CLOSE-20260721; EXP-BE-SOLO-001</x:v>
      </x:c>
      <x:c r="M26" s="30" t="str">
        <x:v>BE-V20</x:v>
      </x:c>
      <x:c r="N26" s="30" t="str">
        <x:v>review_candidate</x:v>
      </x:c>
    </x:row>
    <x:row r="27" ht="108" hidden="0" customHeight="1">
      <x:c r="A27" s="30" t="str">
        <x:v>E-TEXT-001</x:v>
      </x:c>
      <x:c r="B27" s="30" t="str">
        <x:v>E05</x:v>
      </x:c>
      <x:c r="C27" s="30" t="str">
        <x:v>on_screen_text_support</x:v>
      </x:c>
      <x:c r="D27" s="30" t="str">
        <x:v>字幕和屏显文字只定位、压缩或强调已经成立的内容</x:v>
      </x:c>
      <x:c r="E27" s="30" t="str">
        <x:v>P1,P2,P3,P4,P5</x:v>
      </x:c>
      <x:c r="F27" s="30" t="str">
        <x:v>• 需要在无声观看中保留核心信息
• 条件、对比或动作节点需要短句定位</x:v>
      </x:c>
      <x:c r="G27" s="30" t="str">
        <x:v>• 文字是唯一能让受众相信画面发生了变化的依据
• 屏幕文字承载过多课堂解释</x:v>
      </x:c>
      <x:c r="H27" s="30" t="str">
        <x:v>• 画面/话语已经成立的主要信息
• 需要文字承担的唯一职责</x:v>
      </x:c>
      <x:c r="I27" s="30" t="str">
        <x:v>1. 先确认没有文字时画面或话语是否成立
2. 只保留定位和压缩信息
3. 把条件放在最接近对应画面的地方
4. 删除与画面重复的整句字幕</x:v>
      </x:c>
      <x:c r="J27" s="30" t="str">
        <x:v>• 文字删除后视觉证据仍存在
• 静音观看仍能抓住主线
• 屏幕不被文字占满</x:v>
      </x:c>
      <x:c r="K27" s="30" t="str">
        <x:v>• 字幕说轮廓变了但画面看不出
• 每句口播逐字上屏
• 用标题替代造型命题</x:v>
      </x:c>
      <x:c r="L27" s="30" t="str">
        <x:v>PRJ-P5-CLOSE-20260721; PRJ-D032-BOUNDARY; EXP-BE-MEDIA-001</x:v>
      </x:c>
      <x:c r="M27" s="30" t="str">
        <x:v>BE-V28</x:v>
      </x:c>
      <x:c r="N27" s="30" t="str">
        <x:v>review_candidate</x:v>
      </x:c>
    </x:row>
    <x:row r="28" ht="108" hidden="0" customHeight="1">
      <x:c r="A28" s="30" t="str">
        <x:v>E-SOUND-001</x:v>
      </x:c>
      <x:c r="B28" s="30" t="str">
        <x:v>E05</x:v>
      </x:c>
      <x:c r="C28" s="30" t="str">
        <x:v>environment_and_material_sound</x:v>
      </x:c>
      <x:c r="D28" s="30" t="str">
        <x:v>环境声、脚步和衣料声优先承担质感、动作与空间信息</x:v>
      </x:c>
      <x:c r="E28" s="30" t="str">
        <x:v>P5,P3,P4,P2,P1</x:v>
      </x:c>
      <x:c r="F28" s="30" t="str">
        <x:v>• 动作、材质或空间本身有可辨声音
• 希望减少说明性口播并保留真实感</x:v>
      </x:c>
      <x:c r="G28" s="30" t="str">
        <x:v>• 录音会暴露顾客隐私或未经授权对话
• 声音与实际材质/动作不匹配
• 噪声影响核心信息</x:v>
      </x:c>
      <x:c r="H28" s="30" t="str">
        <x:v>• 可安全录制的环境
• 声音与画面的真实关系
• 主要视觉/叙事职责</x:v>
      </x:c>
      <x:c r="I28" s="30" t="str">
        <x:v>1. 识别真实可用声音
2. 只保留能说明动作、材质或空间的部分
3. 必要时降低音乐让真实声音出现
4. 清除隐私和无关噪声</x:v>
      </x:c>
      <x:c r="J28" s="30" t="str">
        <x:v>• 声音增加质感和动作理解
• 不需要额外解释
• 隐私与实际性边界清楚</x:v>
      </x:c>
      <x:c r="K28" s="30" t="str">
        <x:v>• 所有内容统一加拟音
• 伪造面料声音
• 背景谈话可识别</x:v>
      </x:c>
      <x:c r="L28" s="30" t="str">
        <x:v>PRJ-ADR-008; PRJ-ADR-006; PRJ-P5-CLOSE-20260721; EXP-BE-MEDIA-001</x:v>
      </x:c>
      <x:c r="M28" s="30" t="str">
        <x:v>BE-V29</x:v>
      </x:c>
      <x:c r="N28" s="30" t="str">
        <x:v>review_candidate</x:v>
      </x:c>
    </x:row>
    <x:row r="29" ht="108" hidden="0" customHeight="1">
      <x:c r="A29" s="30" t="str">
        <x:v>E-SOUND-002</x:v>
      </x:c>
      <x:c r="B29" s="30" t="str">
        <x:v>E05</x:v>
      </x:c>
      <x:c r="C29" s="30" t="str">
        <x:v>music_and_transition_sound</x:v>
      </x:c>
      <x:c r="D29" s="30" t="str">
        <x:v>音乐与转场声只组织节奏和情绪，不替代内容关系</x:v>
      </x:c>
      <x:c r="E29" s="30" t="str">
        <x:v>P1,P2,P3,P4,P5</x:v>
      </x:c>
      <x:c r="F29" s="30" t="str">
        <x:v>• 需要建立节奏、停顿或情绪方向
• 声音可以帮助视觉/叙事完成但不是主要证据</x:v>
      </x:c>
      <x:c r="G29" s="30" t="str">
        <x:v>• 音乐制造的情绪与品牌或账号不符
• 转场音成为主要刺激而商品/观点不可见
• 权利范围不清</x:v>
      </x:c>
      <x:c r="H29" s="30" t="str">
        <x:v>• 主要内容节奏
• 品牌/账号表达幅度
• 声音使用权与当前媒体条件</x:v>
      </x:c>
      <x:c r="I29" s="30" t="str">
        <x:v>1. 先完成无音乐也成立的内容
2. 选择与主线相符的声音密度和节拍
3. 只在真实转折或动作节点使用转场声
4. 确保声音不掩盖口播和环境证据</x:v>
      </x:c>
      <x:c r="J29" s="30" t="str">
        <x:v>• 关闭音乐后内容仍成立
• 声音强化而不抢走主线
• 品牌差异可体现在声音选择而非固定模板</x:v>
      </x:c>
      <x:c r="K29" s="30" t="str">
        <x:v>• 换装爆点成为内容本身
• 两种状态强行配两套音乐
• 音乐掩盖衣料和台词</x:v>
      </x:c>
      <x:c r="L29" s="30" t="str">
        <x:v>PRJ-P5-CLOSE-20260721; PRJ-D032-BOUNDARY; EXP-BE-MEDIA-001</x:v>
      </x:c>
      <x:c r="M29" s="30" t="str">
        <x:v>BE-V29</x:v>
      </x:c>
      <x:c r="N29" s="30" t="str">
        <x:v>review_candidate</x:v>
      </x:c>
    </x:row>
    <x:row r="30" ht="108" hidden="0" customHeight="1">
      <x:c r="A30" s="30" t="str">
        <x:v>E-COLOR-001</x:v>
      </x:c>
      <x:c r="B30" s="30" t="str">
        <x:v>E05</x:v>
      </x:c>
      <x:c r="C30" s="30" t="str">
        <x:v>light_filter_product_fidelity</x:v>
      </x:c>
      <x:c r="D30" s="30" t="str">
        <x:v>光线和调色可以组织情绪，但不能误导商品颜色、纹理和结构</x:v>
      </x:c>
      <x:c r="E30" s="30" t="str">
        <x:v>P5,P2,P1,P3,P4</x:v>
      </x:c>
      <x:c r="F30" s="30" t="str">
        <x:v>• 视觉内容使用自然光、人工光、滤镜或后期调色
• 商品颜色、纹理或结构是受众判断的重要依据</x:v>
      </x:c>
      <x:c r="G30" s="30" t="str">
        <x:v>• 当前画面无法可靠表现真实商品外观
• 概念效果会被受众理解为实物状态却没有说明</x:v>
      </x:c>
      <x:c r="H30" s="30" t="str">
        <x:v>• 商品已知/可观察外观
• 当前光线与后期处理
• 本篇承重视觉特征</x:v>
      </x:c>
      <x:c r="I30" s="30" t="str">
        <x:v>1. 先确认承重颜色/纹理在当前光线下可辨
2. 调色只服务品牌和情绪，不改变商品识别
3. 无法保证时改用非承重角度或概念方案
4. 必要时用自然语言说明概念性</x:v>
      </x:c>
      <x:c r="J30" s="30" t="str">
        <x:v>• 受众不会把明显失真外观当实物
• 风格与商品忠实同时成立
• 品牌变化可改变调色但不改商品本体</x:v>
      </x:c>
      <x:c r="K30" s="30" t="str">
        <x:v>• 深绿拍成黑色仍不说明
• 滤镜改变格纹和材质判断
• 用后期伪造轮廓效果</x:v>
      </x:c>
      <x:c r="L30" s="30" t="str">
        <x:v>PRJ-P5-CLOSE-20260721; PRJ-AB-B08; EXP-BE-VISUAL-001</x:v>
      </x:c>
      <x:c r="M30" s="30" t="str">
        <x:v>BE-V29</x:v>
      </x:c>
      <x:c r="N30" s="30" t="str">
        <x:v>review_candidate</x:v>
      </x:c>
    </x:row>
    <x:row r="31" ht="108" hidden="0" customHeight="1">
      <x:c r="A31" s="30" t="str">
        <x:v>E-ACTUALITY-001</x:v>
      </x:c>
      <x:c r="B31" s="30" t="str">
        <x:v>E05</x:v>
      </x:c>
      <x:c r="C31" s="30" t="str">
        <x:v>media_actuality</x:v>
      </x:c>
      <x:c r="D31" s="30" t="str">
        <x:v>区分概念方案、摆拍捕捉与实际捕捉，不把故事真实性和媒体真实性混成一维</x:v>
      </x:c>
      <x:c r="E31" s="30" t="str">
        <x:v>P1,P2,P3,P4,P5</x:v>
      </x:c>
      <x:c r="F31" s="30" t="str">
        <x:v>• 成品包含待拍概念、摆拍画面、真实现场或混合素材
• 用户可能据此判断是否已经实拍或现场发生</x:v>
      </x:c>
      <x:c r="G31" s="30" t="str">
        <x:v>• 为每个普通镜头制造用户操作负担
• 把真实事件等同于所有画面都必须是实际抓拍</x:v>
      </x:c>
      <x:c r="H31" s="30" t="str">
        <x:v>• 成品默认媒体实际性
• 少数例外素材/镜头
• 用户需要理解或执行的差异</x:v>
      </x:c>
      <x:c r="I31" s="30" t="str">
        <x:v>1. 为整体设定默认实际性
2. 只记录少数不同的例外
3. 在会影响理解时自然说明概念/摆拍/实际
4. 不得把概念方案冒充已拍、已执行或真实商品外观</x:v>
      </x:c>
      <x:c r="J31" s="30" t="str">
        <x:v>• 真实故事可以使用摆拍画面
• 概念成品可完整交付但不冒充实拍
• 不要求逐镜头手工标注</x:v>
      </x:c>
      <x:c r="K31" s="30" t="str">
        <x:v>• 真实事件=全部actual
• 概念图直接写成门店现场
• 选择mixed却不说明哪些部分不同</x:v>
      </x:c>
      <x:c r="L31" s="30" t="str">
        <x:v>PRJ-ADR-002; PRJ-ADR-014; PRJ-P5-CLOSE-20260721; EXP-BE-MEDIA-001</x:v>
      </x:c>
      <x:c r="M31" s="30" t="str">
        <x:v>BE-V07; BE-V30</x:v>
      </x:c>
      <x:c r="N31" s="30" t="str">
        <x:v>review_candidate</x:v>
      </x:c>
    </x:row>
    <x:row r="32" ht="108" hidden="0" customHeight="1">
      <x:c r="A32" s="30" t="str">
        <x:v>E-MEDIA-001</x:v>
      </x:c>
      <x:c r="B32" s="30" t="str">
        <x:v>E05</x:v>
      </x:c>
      <x:c r="C32" s="30" t="str">
        <x:v>media_provenance_vs_actuality</x:v>
      </x:c>
      <x:c r="D32" s="30" t="str">
        <x:v>媒体进入系统的来源路径与画面实际性保持正交</x:v>
      </x:c>
      <x:c r="E32" s="30" t="str">
        <x:v>P1,P2,P3,P4,P5</x:v>
      </x:c>
      <x:c r="F32" s="30" t="str">
        <x:v>• 图片/视频可能来自用户上传、组织素材、系统生成、合成或外部连接器
• 需要避免把“用户上传”误解为真实抓拍</x:v>
      </x:c>
      <x:c r="G32" s="30" t="str">
        <x:v>• 试图在本批冻结完整媒体来源枚举、权利模型或支持矩阵
• 用来源路径推定素材已获授权</x:v>
      </x:c>
      <x:c r="H32" s="30" t="str">
        <x:v>• 媒体引用
• 进入系统的路径
• 已知实际性/创作方式
• 当前可用权限</x:v>
      </x:c>
      <x:c r="I32" s="30" t="str">
        <x:v>1. 分别记录或理解来源路径与实际性
2. 不从上传方式推断真实/摆拍/合成
3. 不从实际拍摄推断具备跨账号授权
4. 只在当前权限内调用</x:v>
      </x:c>
      <x:c r="J32" s="30" t="str">
        <x:v>• 来源与实际性不互相推定
• 私人/组织边界不因生成而放宽
• 不会把合成或公共素材猜补成商品事实</x:v>
      </x:c>
      <x:c r="K32" s="30" t="str">
        <x:v>• 用户上传=真实现场
• 组织素材=已获所有用途授权
• 系统生成=概念已执行</x:v>
      </x:c>
      <x:c r="L32" s="30" t="str">
        <x:v>PRJ-ADR-008; PRJ-ADR-009; PRJ-ADR-014; EXP-BE-MEDIA-001</x:v>
      </x:c>
      <x:c r="M32" s="30" t="str">
        <x:v>BE-V30</x:v>
      </x:c>
      <x:c r="N32" s="30" t="str">
        <x:v>review_candidate</x:v>
      </x:c>
    </x:row>
  </x:sheetData>
  <x:mergeCells>
    <x:mergeCell ref="A1:N1"/>
    <x:mergeCell ref="A2:N2"/>
  </x:mergeCells>
  <x:conditionalFormatting sqref="N5:N32">
    <x:cfRule type="expression" dxfId="3" priority="1">
      <x:formula>N5="review_candidate"</x:formula>
    </x:cfRule>
  </x:conditionalFormatting>
  <x:dataValidations count="1">
    <x:dataValidation type="list" sqref="N5:N32">
      <x:formula1>"review_candidate,active,revise,delete,deferred"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4edf925cbc40e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30" hidden="0" customWidth="1"/>
    <x:col min="4" max="4" width="12" hidden="0" customWidth="1"/>
    <x:col min="5" max="5" width="24" hidden="0" customWidth="1"/>
    <x:col min="6" max="6" width="16" hidden="0" customWidth="1"/>
    <x:col min="7" max="7" width="12" hidden="0" customWidth="1"/>
    <x:col min="8" max="8" width="24" hidden="0" customWidth="1"/>
    <x:col min="9" max="9" width="40" hidden="0" customWidth="1"/>
  </x:cols>
  <x:sheetData>
    <x:row r="1" ht="19.200000762939453" hidden="0" customHeight="1">
      <x:c r="A1" s="5" t="str">
        <x:v>B08 / E01—E05 需求覆盖</x:v>
      </x:c>
      <x:c r="B1" s="5"/>
      <x:c r="C1" s="5"/>
      <x:c r="D1" s="5"/>
      <x:c r="E1" s="5"/>
      <x:c r="F1" s="5"/>
      <x:c r="G1" s="5"/>
      <x:c r="H1" s="5"/>
      <x:c r="I1" s="5"/>
    </x:row>
    <x:row r="2" ht="96" hidden="0" customHeight="1">
      <x:c r="A2" s="13" t="str">
        <x:v>需求主题是建设目录，不是知识条目数量承诺；本批新增资产均为 review_candidate。</x:v>
      </x:c>
      <x:c r="B2" s="13"/>
      <x:c r="C2" s="13"/>
      <x:c r="D2" s="13"/>
      <x:c r="E2" s="13"/>
      <x:c r="F2" s="13"/>
      <x:c r="G2" s="13"/>
      <x:c r="H2" s="13"/>
      <x:c r="I2" s="13"/>
    </x:row>
    <x:row r="3"/>
    <x:row r="4" ht="15" hidden="0" customHeight="1">
      <x:c r="A4" s="22" t="str">
        <x:v>需求</x:v>
      </x:c>
      <x:c r="B4" s="22" t="str">
        <x:v>资产类型</x:v>
      </x:c>
      <x:c r="C4" s="22" t="str">
        <x:v>主题</x:v>
      </x:c>
      <x:c r="D4" s="22" t="str">
        <x:v>本批新增</x:v>
      </x:c>
      <x:c r="E4" s="22" t="str">
        <x:v>既有依赖</x:v>
      </x:c>
      <x:c r="F4" s="22" t="str">
        <x:v>当前可用候选合计</x:v>
      </x:c>
      <x:c r="G4" s="22" t="str">
        <x:v>覆盖状态</x:v>
      </x:c>
      <x:c r="H4" s="22" t="str">
        <x:v>主要消费者</x:v>
      </x:c>
      <x:c r="I4" s="22" t="str">
        <x:v>边界</x:v>
      </x:c>
    </x:row>
    <x:row r="5" ht="15" hidden="0" customHeight="1">
      <x:c r="A5" s="30" t="str">
        <x:v>B08</x:v>
      </x:c>
      <x:c r="B5" s="30" t="str">
        <x:v>领域知识</x:v>
      </x:c>
      <x:c r="C5" s="30" t="str">
        <x:v>可见造型命题与观看关系</x:v>
      </x:c>
      <x:c r="D5" s="30" t="n">
        <x:v>6</x:v>
      </x:c>
      <x:c r="E5" s="30" t="str">
        <x:v>第二批 B-CREATIVE-002</x:v>
      </x:c>
      <x:c r="F5" s="30" t="n">
        <x:v>7</x:v>
      </x:c>
      <x:c r="G5" s="30" t="str">
        <x:v>已覆盖</x:v>
      </x:c>
      <x:c r="H5" s="30" t="str">
        <x:v>P5 主；P1/P3/P4 共享视觉</x:v>
      </x:c>
      <x:c r="I5" s="30" t="str">
        <x:v>不冻结拍法、镜头数、图片数或平台</x:v>
      </x:c>
    </x:row>
    <x:row r="6" ht="15" hidden="0" customHeight="1">
      <x:c r="A6" s="30" t="str">
        <x:v>E01</x:v>
      </x:c>
      <x:c r="B6" s="30" t="str">
        <x:v>制作方法</x:v>
      </x:c>
      <x:c r="C6" s="30" t="str">
        <x:v>制作资源 × 表现语法解耦</x:v>
      </x:c>
      <x:c r="D6" s="30" t="n">
        <x:v>4</x:v>
      </x:c>
      <x:c r="E6" s="30" t="str">
        <x:v>无</x:v>
      </x:c>
      <x:c r="F6" s="30" t="n">
        <x:v>4</x:v>
      </x:c>
      <x:c r="G6" s="30" t="str">
        <x:v>已覆盖</x:v>
      </x:c>
      <x:c r="H6" s="30" t="str">
        <x:v>P1—P5</x:v>
      </x:c>
      <x:c r="I6" s="30" t="str">
        <x:v>不建产品×平台×时长×制作方式矩阵</x:v>
      </x:c>
    </x:row>
    <x:row r="7" ht="15" hidden="0" customHeight="1">
      <x:c r="A7" s="30" t="str">
        <x:v>E02</x:v>
      </x:c>
      <x:c r="B7" s="30" t="str">
        <x:v>制作方法</x:v>
      </x:c>
      <x:c r="C7" s="30" t="str">
        <x:v>单人轻制作</x:v>
      </x:c>
      <x:c r="D7" s="30" t="n">
        <x:v>4</x:v>
      </x:c>
      <x:c r="E7" s="30" t="str">
        <x:v>P5-D 一人一手机黄金</x:v>
      </x:c>
      <x:c r="F7" s="30" t="n">
        <x:v>4</x:v>
      </x:c>
      <x:c r="G7" s="30" t="str">
        <x:v>已覆盖</x:v>
      </x:c>
      <x:c r="H7" s="30" t="str">
        <x:v>P3/P4/P5 主；P1/P2 辅</x:v>
      </x:c>
      <x:c r="I7" s="30" t="str">
        <x:v>不虚构摄影师、灯光组或多场景</x:v>
      </x:c>
    </x:row>
    <x:row r="8" ht="15" hidden="0" customHeight="1">
      <x:c r="A8" s="30" t="str">
        <x:v>E03</x:v>
      </x:c>
      <x:c r="B8" s="30" t="str">
        <x:v>制作方法</x:v>
      </x:c>
      <x:c r="C8" s="30" t="str">
        <x:v>表现语法选择</x:v>
      </x:c>
      <x:c r="D8" s="30" t="n">
        <x:v>6</x:v>
      </x:c>
      <x:c r="E8" s="30" t="str">
        <x:v>第三批 D 方法</x:v>
      </x:c>
      <x:c r="F8" s="30" t="n">
        <x:v>6</x:v>
      </x:c>
      <x:c r="G8" s="30" t="str">
        <x:v>已覆盖</x:v>
      </x:c>
      <x:c r="H8" s="30" t="str">
        <x:v>P1—P5</x:v>
      </x:c>
      <x:c r="I8" s="30" t="str">
        <x:v>形式不替代主要产品价值</x:v>
      </x:c>
    </x:row>
    <x:row r="9" ht="15" hidden="0" customHeight="1">
      <x:c r="A9" s="30" t="str">
        <x:v>E04</x:v>
      </x:c>
      <x:c r="B9" s="30" t="str">
        <x:v>制作方法</x:v>
      </x:c>
      <x:c r="C9" s="30" t="str">
        <x:v>时长与跨媒体重编译</x:v>
      </x:c>
      <x:c r="D9" s="30" t="n">
        <x:v>4</x:v>
      </x:c>
      <x:c r="E9" s="30" t="str">
        <x:v>D-032 上游原则</x:v>
      </x:c>
      <x:c r="F9" s="30" t="n">
        <x:v>4</x:v>
      </x:c>
      <x:c r="G9" s="30" t="str">
        <x:v>已覆盖</x:v>
      </x:c>
      <x:c r="H9" s="30" t="str">
        <x:v>P1—P5</x:v>
      </x:c>
      <x:c r="I9" s="30" t="str">
        <x:v>不冻结统一秒数和平台成品包</x:v>
      </x:c>
    </x:row>
    <x:row r="10" ht="15" hidden="0" customHeight="1">
      <x:c r="A10" s="30" t="str">
        <x:v>E05</x:v>
      </x:c>
      <x:c r="B10" s="30" t="str">
        <x:v>制作方法</x:v>
      </x:c>
      <x:c r="C10" s="30" t="str">
        <x:v>画面、顺序、文字、声音与实际性</x:v>
      </x:c>
      <x:c r="D10" s="30" t="n">
        <x:v>10</x:v>
      </x:c>
      <x:c r="E10" s="30" t="str">
        <x:v>P5-C/D + ADR-002</x:v>
      </x:c>
      <x:c r="F10" s="30" t="n">
        <x:v>10</x:v>
      </x:c>
      <x:c r="G10" s="30" t="str">
        <x:v>已覆盖</x:v>
      </x:c>
      <x:c r="H10" s="30" t="str">
        <x:v>P5 主；全产品共享</x:v>
      </x:c>
      <x:c r="I10" s="30" t="str">
        <x:v>实际性、来源、权利和商品事实正交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249354b750145a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8" hidden="0" customWidth="1"/>
    <x:col min="4" max="4" width="34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18" hidden="0" customWidth="1"/>
  </x:cols>
  <x:sheetData>
    <x:row r="1" ht="19.200000762939453" hidden="0" customHeight="1">
      <x:c r="A1" s="5" t="str">
        <x:v>视觉媒介资产 × P1—P5 支持矩阵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60" hidden="0" customHeight="1">
      <x:c r="A2" s="13" t="str">
        <x:v>“支持”表示可被当前产品调用，不表示启动第二个产品合同；每个独立成品仍只有一个主要产品。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/>
    <x:row r="4" ht="15" hidden="0" customHeight="1">
      <x:c r="A4" s="22" t="str">
        <x:v>资产ID</x:v>
      </x:c>
      <x:c r="B4" s="22" t="str">
        <x:v>资产类型</x:v>
      </x:c>
      <x:c r="C4" s="22" t="str">
        <x:v>需求</x:v>
      </x:c>
      <x:c r="D4" s="22" t="str">
        <x:v>标题/方法</x:v>
      </x:c>
      <x:c r="E4" s="22" t="str">
        <x:v>P1</x:v>
      </x:c>
      <x:c r="F4" s="22" t="str">
        <x:v>P2</x:v>
      </x:c>
      <x:c r="G4" s="22" t="str">
        <x:v>P3</x:v>
      </x:c>
      <x:c r="H4" s="22" t="str">
        <x:v>P4</x:v>
      </x:c>
      <x:c r="I4" s="22" t="str">
        <x:v>P5</x:v>
      </x:c>
      <x:c r="J4" s="22" t="str">
        <x:v>状态</x:v>
      </x:c>
    </x:row>
    <x:row r="5" ht="21.600000381469727" hidden="0" customHeight="1">
      <x:c r="A5" s="30" t="str">
        <x:v>B-VIS-001</x:v>
      </x:c>
      <x:c r="B5" s="30" t="str">
        <x:v>B08领域知识</x:v>
      </x:c>
      <x:c r="C5" s="30" t="str">
        <x:v>B08</x:v>
      </x:c>
      <x:c r="D5" s="30" t="str">
        <x:v>可见造型命题必须能被具体复述，而不是只剩抽象风格词</x:v>
      </x:c>
      <x:c r="E5" s="30" t="str">
        <x:v>支持</x:v>
      </x:c>
      <x:c r="F5" s="30" t="str">
        <x:v>—</x:v>
      </x:c>
      <x:c r="G5" s="30" t="str">
        <x:v>支持</x:v>
      </x:c>
      <x:c r="H5" s="30" t="str">
        <x:v>支持</x:v>
      </x:c>
      <x:c r="I5" s="30" t="str">
        <x:v>支持</x:v>
      </x:c>
      <x:c r="J5" s="30" t="str">
        <x:v>review_candidate</x:v>
      </x:c>
    </x:row>
    <x:row r="6" ht="21.600000381469727" hidden="0" customHeight="1">
      <x:c r="A6" s="30" t="str">
        <x:v>B-VIS-002</x:v>
      </x:c>
      <x:c r="B6" s="30" t="str">
        <x:v>B08领域知识</x:v>
      </x:c>
      <x:c r="C6" s="30" t="str">
        <x:v>B08</x:v>
      </x:c>
      <x:c r="D6" s="30" t="str">
        <x:v>商品数量由造型命题的必要关系决定，不由“搭配完整度”决定</x:v>
      </x:c>
      <x:c r="E6" s="30" t="str">
        <x:v>支持</x:v>
      </x:c>
      <x:c r="F6" s="30" t="str">
        <x:v>支持</x:v>
      </x:c>
      <x:c r="G6" s="30" t="str">
        <x:v>—</x:v>
      </x:c>
      <x:c r="H6" s="30" t="str">
        <x:v>—</x:v>
      </x:c>
      <x:c r="I6" s="30" t="str">
        <x:v>支持</x:v>
      </x:c>
      <x:c r="J6" s="30" t="str">
        <x:v>review_candidate</x:v>
      </x:c>
    </x:row>
    <x:row r="7" ht="21.600000381469727" hidden="0" customHeight="1">
      <x:c r="A7" s="30" t="str">
        <x:v>B-VIS-003</x:v>
      </x:c>
      <x:c r="B7" s="30" t="str">
        <x:v>B08领域知识</x:v>
      </x:c>
      <x:c r="C7" s="30" t="str">
        <x:v>B08</x:v>
      </x:c>
      <x:c r="D7" s="30" t="str">
        <x:v>造型命题需要由商品与身体、动作、其他单品或环境中的至少一项关系承重</x:v>
      </x:c>
      <x:c r="E7" s="30" t="str">
        <x:v>支持</x:v>
      </x:c>
      <x:c r="F7" s="30" t="str">
        <x:v>支持</x:v>
      </x:c>
      <x:c r="G7" s="30" t="str">
        <x:v>支持</x:v>
      </x:c>
      <x:c r="H7" s="30" t="str">
        <x:v>支持</x:v>
      </x:c>
      <x:c r="I7" s="30" t="str">
        <x:v>支持</x:v>
      </x:c>
      <x:c r="J7" s="30" t="str">
        <x:v>review_candidate</x:v>
      </x:c>
    </x:row>
    <x:row r="8" ht="21.600000381469727" hidden="0" customHeight="1">
      <x:c r="A8" s="30" t="str">
        <x:v>B-VIS-004</x:v>
      </x:c>
      <x:c r="B8" s="30" t="str">
        <x:v>B08领域知识</x:v>
      </x:c>
      <x:c r="C8" s="30" t="str">
        <x:v>B08</x:v>
      </x:c>
      <x:c r="D8" s="30" t="str">
        <x:v>比较或变化型画面应尽量明确一个主要变量，并保留足够不变量</x:v>
      </x:c>
      <x:c r="E8" s="30" t="str">
        <x:v>支持</x:v>
      </x:c>
      <x:c r="F8" s="30" t="str">
        <x:v>支持</x:v>
      </x:c>
      <x:c r="G8" s="30" t="str">
        <x:v>—</x:v>
      </x:c>
      <x:c r="H8" s="30" t="str">
        <x:v>—</x:v>
      </x:c>
      <x:c r="I8" s="30" t="str">
        <x:v>支持</x:v>
      </x:c>
      <x:c r="J8" s="30" t="str">
        <x:v>review_candidate</x:v>
      </x:c>
    </x:row>
    <x:row r="9" ht="21.600000381469727" hidden="0" customHeight="1">
      <x:c r="A9" s="30" t="str">
        <x:v>B-VIS-005</x:v>
      </x:c>
      <x:c r="B9" s="30" t="str">
        <x:v>B08领域知识</x:v>
      </x:c>
      <x:c r="C9" s="30" t="str">
        <x:v>B08</x:v>
      </x:c>
      <x:c r="D9" s="30" t="str">
        <x:v>品牌审美应实质改变视觉重音、空间、动作或节奏，而不是只加标识</x:v>
      </x:c>
      <x:c r="E9" s="30" t="str">
        <x:v>—</x:v>
      </x:c>
      <x:c r="F9" s="30" t="str">
        <x:v>—</x:v>
      </x:c>
      <x:c r="G9" s="30" t="str">
        <x:v>支持</x:v>
      </x:c>
      <x:c r="H9" s="30" t="str">
        <x:v>支持</x:v>
      </x:c>
      <x:c r="I9" s="30" t="str">
        <x:v>支持</x:v>
      </x:c>
      <x:c r="J9" s="30" t="str">
        <x:v>review_candidate</x:v>
      </x:c>
    </x:row>
    <x:row r="10" ht="21.600000381469727" hidden="0" customHeight="1">
      <x:c r="A10" s="30" t="str">
        <x:v>B-VIS-006</x:v>
      </x:c>
      <x:c r="B10" s="30" t="str">
        <x:v>B08领域知识</x:v>
      </x:c>
      <x:c r="C10" s="30" t="str">
        <x:v>B08</x:v>
      </x:c>
      <x:c r="D10" s="30" t="str">
        <x:v>新的穿着可能可以由单帧、动作或序列直接成立，不强制故事情节</x:v>
      </x:c>
      <x:c r="E10" s="30" t="str">
        <x:v>支持</x:v>
      </x:c>
      <x:c r="F10" s="30" t="str">
        <x:v>支持</x:v>
      </x:c>
      <x:c r="G10" s="30" t="str">
        <x:v>支持</x:v>
      </x:c>
      <x:c r="H10" s="30" t="str">
        <x:v>支持</x:v>
      </x:c>
      <x:c r="I10" s="30" t="str">
        <x:v>支持</x:v>
      </x:c>
      <x:c r="J10" s="30" t="str">
        <x:v>review_candidate</x:v>
      </x:c>
    </x:row>
    <x:row r="11" ht="15" hidden="0" customHeight="1">
      <x:c r="A11" s="30" t="str">
        <x:v>E-RESOURCE-001</x:v>
      </x:c>
      <x:c r="B11" s="30" t="str">
        <x:v>E制作方法</x:v>
      </x:c>
      <x:c r="C11" s="30" t="str">
        <x:v>E01</x:v>
      </x:c>
      <x:c r="D11" s="30" t="str">
        <x:v>把制作资源与表现语法分开判断</x:v>
      </x:c>
      <x:c r="E11" s="30" t="str">
        <x:v>支持</x:v>
      </x:c>
      <x:c r="F11" s="30" t="str">
        <x:v>支持</x:v>
      </x:c>
      <x:c r="G11" s="30" t="str">
        <x:v>支持</x:v>
      </x:c>
      <x:c r="H11" s="30" t="str">
        <x:v>支持</x:v>
      </x:c>
      <x:c r="I11" s="30" t="str">
        <x:v>支持</x:v>
      </x:c>
      <x:c r="J11" s="30" t="str">
        <x:v>review_candidate</x:v>
      </x:c>
    </x:row>
    <x:row r="12" ht="21.600000381469727" hidden="0" customHeight="1">
      <x:c r="A12" s="30" t="str">
        <x:v>E-RESOURCE-002</x:v>
      </x:c>
      <x:c r="B12" s="30" t="str">
        <x:v>E制作方法</x:v>
      </x:c>
      <x:c r="C12" s="30" t="str">
        <x:v>E01</x:v>
      </x:c>
      <x:c r="D12" s="30" t="str">
        <x:v>按“主价值—承重关系—表现语法—制作资源”顺序编译</x:v>
      </x:c>
      <x:c r="E12" s="30" t="str">
        <x:v>支持</x:v>
      </x:c>
      <x:c r="F12" s="30" t="str">
        <x:v>支持</x:v>
      </x:c>
      <x:c r="G12" s="30" t="str">
        <x:v>支持</x:v>
      </x:c>
      <x:c r="H12" s="30" t="str">
        <x:v>支持</x:v>
      </x:c>
      <x:c r="I12" s="30" t="str">
        <x:v>支持</x:v>
      </x:c>
      <x:c r="J12" s="30" t="str">
        <x:v>review_candidate</x:v>
      </x:c>
    </x:row>
    <x:row r="13" ht="15" hidden="0" customHeight="1">
      <x:c r="A13" s="30" t="str">
        <x:v>E-RESOURCE-003</x:v>
      </x:c>
      <x:c r="B13" s="30" t="str">
        <x:v>E制作方法</x:v>
      </x:c>
      <x:c r="C13" s="30" t="str">
        <x:v>E01</x:v>
      </x:c>
      <x:c r="D13" s="30" t="str">
        <x:v>让当前真实条件直接塑造唯一主版本</x:v>
      </x:c>
      <x:c r="E13" s="30" t="str">
        <x:v>支持</x:v>
      </x:c>
      <x:c r="F13" s="30" t="str">
        <x:v>支持</x:v>
      </x:c>
      <x:c r="G13" s="30" t="str">
        <x:v>支持</x:v>
      </x:c>
      <x:c r="H13" s="30" t="str">
        <x:v>支持</x:v>
      </x:c>
      <x:c r="I13" s="30" t="str">
        <x:v>支持</x:v>
      </x:c>
      <x:c r="J13" s="30" t="str">
        <x:v>review_candidate</x:v>
      </x:c>
    </x:row>
    <x:row r="14" ht="21.600000381469727" hidden="0" customHeight="1">
      <x:c r="A14" s="30" t="str">
        <x:v>E-RESOURCE-004</x:v>
      </x:c>
      <x:c r="B14" s="30" t="str">
        <x:v>E制作方法</x:v>
      </x:c>
      <x:c r="C14" s="30" t="str">
        <x:v>E01</x:v>
      </x:c>
      <x:c r="D14" s="30" t="str">
        <x:v>团队资源只负责深化同一命题，不生成“总部版产品”</x:v>
      </x:c>
      <x:c r="E14" s="30" t="str">
        <x:v>支持</x:v>
      </x:c>
      <x:c r="F14" s="30" t="str">
        <x:v>支持</x:v>
      </x:c>
      <x:c r="G14" s="30" t="str">
        <x:v>支持</x:v>
      </x:c>
      <x:c r="H14" s="30" t="str">
        <x:v>支持</x:v>
      </x:c>
      <x:c r="I14" s="30" t="str">
        <x:v>支持</x:v>
      </x:c>
      <x:c r="J14" s="30" t="str">
        <x:v>review_candidate</x:v>
      </x:c>
    </x:row>
    <x:row r="15" ht="15" hidden="0" customHeight="1">
      <x:c r="A15" s="30" t="str">
        <x:v>E-SOLO-001</x:v>
      </x:c>
      <x:c r="B15" s="30" t="str">
        <x:v>E制作方法</x:v>
      </x:c>
      <x:c r="C15" s="30" t="str">
        <x:v>E02</x:v>
      </x:c>
      <x:c r="D15" s="30" t="str">
        <x:v>用固定机位和明确动作区建立单人可执行画面</x:v>
      </x:c>
      <x:c r="E15" s="30" t="str">
        <x:v>支持</x:v>
      </x:c>
      <x:c r="F15" s="30" t="str">
        <x:v>支持</x:v>
      </x:c>
      <x:c r="G15" s="30" t="str">
        <x:v>支持</x:v>
      </x:c>
      <x:c r="H15" s="30" t="str">
        <x:v>支持</x:v>
      </x:c>
      <x:c r="I15" s="30" t="str">
        <x:v>支持</x:v>
      </x:c>
      <x:c r="J15" s="30" t="str">
        <x:v>review_candidate</x:v>
      </x:c>
    </x:row>
    <x:row r="16" ht="15" hidden="0" customHeight="1">
      <x:c r="A16" s="30" t="str">
        <x:v>E-SOLO-002</x:v>
      </x:c>
      <x:c r="B16" s="30" t="str">
        <x:v>E制作方法</x:v>
      </x:c>
      <x:c r="C16" s="30" t="str">
        <x:v>E02</x:v>
      </x:c>
      <x:c r="D16" s="30" t="str">
        <x:v>单人多景别优先靠主体距离、方向与补拍变化完成</x:v>
      </x:c>
      <x:c r="E16" s="30" t="str">
        <x:v>支持</x:v>
      </x:c>
      <x:c r="F16" s="30" t="str">
        <x:v>支持</x:v>
      </x:c>
      <x:c r="G16" s="30" t="str">
        <x:v>支持</x:v>
      </x:c>
      <x:c r="H16" s="30" t="str">
        <x:v>支持</x:v>
      </x:c>
      <x:c r="I16" s="30" t="str">
        <x:v>支持</x:v>
      </x:c>
      <x:c r="J16" s="30" t="str">
        <x:v>review_candidate</x:v>
      </x:c>
    </x:row>
    <x:row r="17" ht="21.600000381469727" hidden="0" customHeight="1">
      <x:c r="A17" s="30" t="str">
        <x:v>E-SOLO-003</x:v>
      </x:c>
      <x:c r="B17" s="30" t="str">
        <x:v>E制作方法</x:v>
      </x:c>
      <x:c r="C17" s="30" t="str">
        <x:v>E02</x:v>
      </x:c>
      <x:c r="D17" s="30" t="str">
        <x:v>把切点放在可重复动作上，用动作连续保持关系清楚</x:v>
      </x:c>
      <x:c r="E17" s="30" t="str">
        <x:v>支持</x:v>
      </x:c>
      <x:c r="F17" s="30" t="str">
        <x:v>支持</x:v>
      </x:c>
      <x:c r="G17" s="30" t="str">
        <x:v>支持</x:v>
      </x:c>
      <x:c r="H17" s="30" t="str">
        <x:v>支持</x:v>
      </x:c>
      <x:c r="I17" s="30" t="str">
        <x:v>支持</x:v>
      </x:c>
      <x:c r="J17" s="30" t="str">
        <x:v>review_candidate</x:v>
      </x:c>
    </x:row>
    <x:row r="18" ht="21.600000381469727" hidden="0" customHeight="1">
      <x:c r="A18" s="30" t="str">
        <x:v>E-SOLO-004</x:v>
      </x:c>
      <x:c r="B18" s="30" t="str">
        <x:v>E制作方法</x:v>
      </x:c>
      <x:c r="C18" s="30" t="str">
        <x:v>E02</x:v>
      </x:c>
      <x:c r="D18" s="30" t="str">
        <x:v>把普通门店空间和自然光作为可控条件，而不是自动升级成布景</x:v>
      </x:c>
      <x:c r="E18" s="30" t="str">
        <x:v>支持</x:v>
      </x:c>
      <x:c r="F18" s="30" t="str">
        <x:v>支持</x:v>
      </x:c>
      <x:c r="G18" s="30" t="str">
        <x:v>支持</x:v>
      </x:c>
      <x:c r="H18" s="30" t="str">
        <x:v>支持</x:v>
      </x:c>
      <x:c r="I18" s="30" t="str">
        <x:v>支持</x:v>
      </x:c>
      <x:c r="J18" s="30" t="str">
        <x:v>review_candidate</x:v>
      </x:c>
    </x:row>
    <x:row r="19" ht="21.600000381469727" hidden="0" customHeight="1">
      <x:c r="A19" s="30" t="str">
        <x:v>E-FORM-001</x:v>
      </x:c>
      <x:c r="B19" s="30" t="str">
        <x:v>E制作方法</x:v>
      </x:c>
      <x:c r="C19" s="30" t="str">
        <x:v>E03</x:v>
      </x:c>
      <x:c r="D19" s="30" t="str">
        <x:v>根据主要产品价值选择表现语法，不让形式反向决定路由</x:v>
      </x:c>
      <x:c r="E19" s="30" t="str">
        <x:v>支持</x:v>
      </x:c>
      <x:c r="F19" s="30" t="str">
        <x:v>支持</x:v>
      </x:c>
      <x:c r="G19" s="30" t="str">
        <x:v>支持</x:v>
      </x:c>
      <x:c r="H19" s="30" t="str">
        <x:v>支持</x:v>
      </x:c>
      <x:c r="I19" s="30" t="str">
        <x:v>支持</x:v>
      </x:c>
      <x:c r="J19" s="30" t="str">
        <x:v>review_candidate</x:v>
      </x:c>
    </x:row>
    <x:row r="20" ht="15" hidden="0" customHeight="1">
      <x:c r="A20" s="30" t="str">
        <x:v>E-FORM-002</x:v>
      </x:c>
      <x:c r="B20" s="30" t="str">
        <x:v>E制作方法</x:v>
      </x:c>
      <x:c r="C20" s="30" t="str">
        <x:v>E03</x:v>
      </x:c>
      <x:c r="D20" s="30" t="str">
        <x:v>纯视觉只在主要关系无需语言补证时使用</x:v>
      </x:c>
      <x:c r="E20" s="30" t="str">
        <x:v>支持</x:v>
      </x:c>
      <x:c r="F20" s="30" t="str">
        <x:v>支持</x:v>
      </x:c>
      <x:c r="G20" s="30" t="str">
        <x:v>支持</x:v>
      </x:c>
      <x:c r="H20" s="30" t="str">
        <x:v>支持</x:v>
      </x:c>
      <x:c r="I20" s="30" t="str">
        <x:v>支持</x:v>
      </x:c>
      <x:c r="J20" s="30" t="str">
        <x:v>review_candidate</x:v>
      </x:c>
    </x:row>
    <x:row r="21" ht="21.600000381469727" hidden="0" customHeight="1">
      <x:c r="A21" s="30" t="str">
        <x:v>E-FORM-003</x:v>
      </x:c>
      <x:c r="B21" s="30" t="str">
        <x:v>E制作方法</x:v>
      </x:c>
      <x:c r="C21" s="30" t="str">
        <x:v>E03</x:v>
      </x:c>
      <x:c r="D21" s="30" t="str">
        <x:v>边讲边演示时，让话语只解释动作无法独立说明的部分</x:v>
      </x:c>
      <x:c r="E21" s="30" t="str">
        <x:v>支持</x:v>
      </x:c>
      <x:c r="F21" s="30" t="str">
        <x:v>支持</x:v>
      </x:c>
      <x:c r="G21" s="30" t="str">
        <x:v>支持</x:v>
      </x:c>
      <x:c r="H21" s="30" t="str">
        <x:v>支持</x:v>
      </x:c>
      <x:c r="I21" s="30" t="str">
        <x:v>支持</x:v>
      </x:c>
      <x:c r="J21" s="30" t="str">
        <x:v>review_candidate</x:v>
      </x:c>
    </x:row>
    <x:row r="22" ht="15" hidden="0" customHeight="1">
      <x:c r="A22" s="30" t="str">
        <x:v>E-FORM-004</x:v>
      </x:c>
      <x:c r="B22" s="30" t="str">
        <x:v>E制作方法</x:v>
      </x:c>
      <x:c r="C22" s="30" t="str">
        <x:v>E03</x:v>
      </x:c>
      <x:c r="D22" s="30" t="str">
        <x:v>旁白用于保留视觉连续和关系空间，不替画面作证</x:v>
      </x:c>
      <x:c r="E22" s="30" t="str">
        <x:v>支持</x:v>
      </x:c>
      <x:c r="F22" s="30" t="str">
        <x:v>支持</x:v>
      </x:c>
      <x:c r="G22" s="30" t="str">
        <x:v>支持</x:v>
      </x:c>
      <x:c r="H22" s="30" t="str">
        <x:v>支持</x:v>
      </x:c>
      <x:c r="I22" s="30" t="str">
        <x:v>支持</x:v>
      </x:c>
      <x:c r="J22" s="30" t="str">
        <x:v>review_candidate</x:v>
      </x:c>
    </x:row>
    <x:row r="23" ht="15" hidden="0" customHeight="1">
      <x:c r="A23" s="30" t="str">
        <x:v>E-FORM-005</x:v>
      </x:c>
      <x:c r="B23" s="30" t="str">
        <x:v>E制作方法</x:v>
      </x:c>
      <x:c r="C23" s="30" t="str">
        <x:v>E03</x:v>
      </x:c>
      <x:c r="D23" s="30" t="str">
        <x:v>对话和问答只在关系或观点差异承担价值时使用</x:v>
      </x:c>
      <x:c r="E23" s="30" t="str">
        <x:v>支持</x:v>
      </x:c>
      <x:c r="F23" s="30" t="str">
        <x:v>支持</x:v>
      </x:c>
      <x:c r="G23" s="30" t="str">
        <x:v>支持</x:v>
      </x:c>
      <x:c r="H23" s="30" t="str">
        <x:v>支持</x:v>
      </x:c>
      <x:c r="I23" s="30" t="str">
        <x:v>支持</x:v>
      </x:c>
      <x:c r="J23" s="30" t="str">
        <x:v>review_candidate</x:v>
      </x:c>
    </x:row>
    <x:row r="24" ht="15" hidden="0" customHeight="1">
      <x:c r="A24" s="30" t="str">
        <x:v>E-FORM-006</x:v>
      </x:c>
      <x:c r="B24" s="30" t="str">
        <x:v>E制作方法</x:v>
      </x:c>
      <x:c r="C24" s="30" t="str">
        <x:v>E03</x:v>
      </x:c>
      <x:c r="D24" s="30" t="str">
        <x:v>单帧、图片组和静物序列按关系展开需要选择</x:v>
      </x:c>
      <x:c r="E24" s="30" t="str">
        <x:v>支持</x:v>
      </x:c>
      <x:c r="F24" s="30" t="str">
        <x:v>支持</x:v>
      </x:c>
      <x:c r="G24" s="30" t="str">
        <x:v>支持</x:v>
      </x:c>
      <x:c r="H24" s="30" t="str">
        <x:v>支持</x:v>
      </x:c>
      <x:c r="I24" s="30" t="str">
        <x:v>支持</x:v>
      </x:c>
      <x:c r="J24" s="30" t="str">
        <x:v>review_candidate</x:v>
      </x:c>
    </x:row>
    <x:row r="25" ht="15" hidden="0" customHeight="1">
      <x:c r="A25" s="30" t="str">
        <x:v>E-TIME-001</x:v>
      </x:c>
      <x:c r="B25" s="30" t="str">
        <x:v>E制作方法</x:v>
      </x:c>
      <x:c r="C25" s="30" t="str">
        <x:v>E04</x:v>
      </x:c>
      <x:c r="D25" s="30" t="str">
        <x:v>用能完整兑现主价值且无冗余的自然时长</x:v>
      </x:c>
      <x:c r="E25" s="30" t="str">
        <x:v>支持</x:v>
      </x:c>
      <x:c r="F25" s="30" t="str">
        <x:v>支持</x:v>
      </x:c>
      <x:c r="G25" s="30" t="str">
        <x:v>支持</x:v>
      </x:c>
      <x:c r="H25" s="30" t="str">
        <x:v>支持</x:v>
      </x:c>
      <x:c r="I25" s="30" t="str">
        <x:v>支持</x:v>
      </x:c>
      <x:c r="J25" s="30" t="str">
        <x:v>review_candidate</x:v>
      </x:c>
    </x:row>
    <x:row r="26" ht="15" hidden="0" customHeight="1">
      <x:c r="A26" s="30" t="str">
        <x:v>E-TIME-002</x:v>
      </x:c>
      <x:c r="B26" s="30" t="str">
        <x:v>E制作方法</x:v>
      </x:c>
      <x:c r="C26" s="30" t="str">
        <x:v>E04</x:v>
      </x:c>
      <x:c r="D26" s="30" t="str">
        <x:v>缩短时按功能重新编排，不从尾部机械截断</x:v>
      </x:c>
      <x:c r="E26" s="30" t="str">
        <x:v>支持</x:v>
      </x:c>
      <x:c r="F26" s="30" t="str">
        <x:v>支持</x:v>
      </x:c>
      <x:c r="G26" s="30" t="str">
        <x:v>支持</x:v>
      </x:c>
      <x:c r="H26" s="30" t="str">
        <x:v>支持</x:v>
      </x:c>
      <x:c r="I26" s="30" t="str">
        <x:v>支持</x:v>
      </x:c>
      <x:c r="J26" s="30" t="str">
        <x:v>review_candidate</x:v>
      </x:c>
    </x:row>
    <x:row r="27" ht="21.600000381469727" hidden="0" customHeight="1">
      <x:c r="A27" s="30" t="str">
        <x:v>E-TIME-003</x:v>
      </x:c>
      <x:c r="B27" s="30" t="str">
        <x:v>E制作方法</x:v>
      </x:c>
      <x:c r="C27" s="30" t="str">
        <x:v>E04</x:v>
      </x:c>
      <x:c r="D27" s="30" t="str">
        <x:v>延长时增加证据、体验或关系层次，不重复同一观点</x:v>
      </x:c>
      <x:c r="E27" s="30" t="str">
        <x:v>支持</x:v>
      </x:c>
      <x:c r="F27" s="30" t="str">
        <x:v>支持</x:v>
      </x:c>
      <x:c r="G27" s="30" t="str">
        <x:v>支持</x:v>
      </x:c>
      <x:c r="H27" s="30" t="str">
        <x:v>支持</x:v>
      </x:c>
      <x:c r="I27" s="30" t="str">
        <x:v>支持</x:v>
      </x:c>
      <x:c r="J27" s="30" t="str">
        <x:v>review_candidate</x:v>
      </x:c>
    </x:row>
    <x:row r="28" ht="15" hidden="0" customHeight="1">
      <x:c r="A28" s="30" t="str">
        <x:v>E-ADAPT-001</x:v>
      </x:c>
      <x:c r="B28" s="30" t="str">
        <x:v>E制作方法</x:v>
      </x:c>
      <x:c r="C28" s="30" t="str">
        <x:v>E04</x:v>
      </x:c>
      <x:c r="D28" s="30" t="str">
        <x:v>跨媒体改写保持业务不变量，重新组织表现变量</x:v>
      </x:c>
      <x:c r="E28" s="30" t="str">
        <x:v>支持</x:v>
      </x:c>
      <x:c r="F28" s="30" t="str">
        <x:v>支持</x:v>
      </x:c>
      <x:c r="G28" s="30" t="str">
        <x:v>支持</x:v>
      </x:c>
      <x:c r="H28" s="30" t="str">
        <x:v>支持</x:v>
      </x:c>
      <x:c r="I28" s="30" t="str">
        <x:v>支持</x:v>
      </x:c>
      <x:c r="J28" s="30" t="str">
        <x:v>review_candidate</x:v>
      </x:c>
    </x:row>
    <x:row r="29" ht="15" hidden="0" customHeight="1">
      <x:c r="A29" s="30" t="str">
        <x:v>E-VISUAL-001</x:v>
      </x:c>
      <x:c r="B29" s="30" t="str">
        <x:v>E制作方法</x:v>
      </x:c>
      <x:c r="C29" s="30" t="str">
        <x:v>E05</x:v>
      </x:c>
      <x:c r="D29" s="30" t="str">
        <x:v>让第一个主要视觉入口先给出具体观看承诺</x:v>
      </x:c>
      <x:c r="E29" s="30" t="str">
        <x:v>支持</x:v>
      </x:c>
      <x:c r="F29" s="30" t="str">
        <x:v>支持</x:v>
      </x:c>
      <x:c r="G29" s="30" t="str">
        <x:v>支持</x:v>
      </x:c>
      <x:c r="H29" s="30" t="str">
        <x:v>支持</x:v>
      </x:c>
      <x:c r="I29" s="30" t="str">
        <x:v>支持</x:v>
      </x:c>
      <x:c r="J29" s="30" t="str">
        <x:v>review_candidate</x:v>
      </x:c>
    </x:row>
    <x:row r="30" ht="15" hidden="0" customHeight="1">
      <x:c r="A30" s="30" t="str">
        <x:v>E-VISUAL-002</x:v>
      </x:c>
      <x:c r="B30" s="30" t="str">
        <x:v>E制作方法</x:v>
      </x:c>
      <x:c r="C30" s="30" t="str">
        <x:v>E05</x:v>
      </x:c>
      <x:c r="D30" s="30" t="str">
        <x:v>用主次、留白、对比和空间关系控制观看路径</x:v>
      </x:c>
      <x:c r="E30" s="30" t="str">
        <x:v>支持</x:v>
      </x:c>
      <x:c r="F30" s="30" t="str">
        <x:v>支持</x:v>
      </x:c>
      <x:c r="G30" s="30" t="str">
        <x:v>支持</x:v>
      </x:c>
      <x:c r="H30" s="30" t="str">
        <x:v>支持</x:v>
      </x:c>
      <x:c r="I30" s="30" t="str">
        <x:v>支持</x:v>
      </x:c>
      <x:c r="J30" s="30" t="str">
        <x:v>review_candidate</x:v>
      </x:c>
    </x:row>
    <x:row r="31" ht="21.600000381469727" hidden="0" customHeight="1">
      <x:c r="A31" s="30" t="str">
        <x:v>E-VISUAL-003</x:v>
      </x:c>
      <x:c r="B31" s="30" t="str">
        <x:v>E制作方法</x:v>
      </x:c>
      <x:c r="C31" s="30" t="str">
        <x:v>E05</x:v>
      </x:c>
      <x:c r="D31" s="30" t="str">
        <x:v>让图片或镜头顺序完成入口、展开和完成，而不是堆镜头</x:v>
      </x:c>
      <x:c r="E31" s="30" t="str">
        <x:v>支持</x:v>
      </x:c>
      <x:c r="F31" s="30" t="str">
        <x:v>支持</x:v>
      </x:c>
      <x:c r="G31" s="30" t="str">
        <x:v>支持</x:v>
      </x:c>
      <x:c r="H31" s="30" t="str">
        <x:v>支持</x:v>
      </x:c>
      <x:c r="I31" s="30" t="str">
        <x:v>支持</x:v>
      </x:c>
      <x:c r="J31" s="30" t="str">
        <x:v>review_candidate</x:v>
      </x:c>
    </x:row>
    <x:row r="32" ht="15" hidden="0" customHeight="1">
      <x:c r="A32" s="30" t="str">
        <x:v>E-VISUAL-004</x:v>
      </x:c>
      <x:c r="B32" s="30" t="str">
        <x:v>E制作方法</x:v>
      </x:c>
      <x:c r="C32" s="30" t="str">
        <x:v>E05</x:v>
      </x:c>
      <x:c r="D32" s="30" t="str">
        <x:v>动作连续应服务视觉理解，不为转场炫技</x:v>
      </x:c>
      <x:c r="E32" s="30" t="str">
        <x:v>支持</x:v>
      </x:c>
      <x:c r="F32" s="30" t="str">
        <x:v>支持</x:v>
      </x:c>
      <x:c r="G32" s="30" t="str">
        <x:v>支持</x:v>
      </x:c>
      <x:c r="H32" s="30" t="str">
        <x:v>支持</x:v>
      </x:c>
      <x:c r="I32" s="30" t="str">
        <x:v>支持</x:v>
      </x:c>
      <x:c r="J32" s="30" t="str">
        <x:v>review_candidate</x:v>
      </x:c>
    </x:row>
    <x:row r="33" ht="21.600000381469727" hidden="0" customHeight="1">
      <x:c r="A33" s="30" t="str">
        <x:v>E-TEXT-001</x:v>
      </x:c>
      <x:c r="B33" s="30" t="str">
        <x:v>E制作方法</x:v>
      </x:c>
      <x:c r="C33" s="30" t="str">
        <x:v>E05</x:v>
      </x:c>
      <x:c r="D33" s="30" t="str">
        <x:v>字幕和屏显文字只定位、压缩或强调已经成立的内容</x:v>
      </x:c>
      <x:c r="E33" s="30" t="str">
        <x:v>支持</x:v>
      </x:c>
      <x:c r="F33" s="30" t="str">
        <x:v>支持</x:v>
      </x:c>
      <x:c r="G33" s="30" t="str">
        <x:v>支持</x:v>
      </x:c>
      <x:c r="H33" s="30" t="str">
        <x:v>支持</x:v>
      </x:c>
      <x:c r="I33" s="30" t="str">
        <x:v>支持</x:v>
      </x:c>
      <x:c r="J33" s="30" t="str">
        <x:v>review_candidate</x:v>
      </x:c>
    </x:row>
    <x:row r="34" ht="21.600000381469727" hidden="0" customHeight="1">
      <x:c r="A34" s="30" t="str">
        <x:v>E-SOUND-001</x:v>
      </x:c>
      <x:c r="B34" s="30" t="str">
        <x:v>E制作方法</x:v>
      </x:c>
      <x:c r="C34" s="30" t="str">
        <x:v>E05</x:v>
      </x:c>
      <x:c r="D34" s="30" t="str">
        <x:v>环境声、脚步和衣料声优先承担质感、动作与空间信息</x:v>
      </x:c>
      <x:c r="E34" s="30" t="str">
        <x:v>支持</x:v>
      </x:c>
      <x:c r="F34" s="30" t="str">
        <x:v>支持</x:v>
      </x:c>
      <x:c r="G34" s="30" t="str">
        <x:v>支持</x:v>
      </x:c>
      <x:c r="H34" s="30" t="str">
        <x:v>支持</x:v>
      </x:c>
      <x:c r="I34" s="30" t="str">
        <x:v>支持</x:v>
      </x:c>
      <x:c r="J34" s="30" t="str">
        <x:v>review_candidate</x:v>
      </x:c>
    </x:row>
    <x:row r="35" ht="15" hidden="0" customHeight="1">
      <x:c r="A35" s="30" t="str">
        <x:v>E-SOUND-002</x:v>
      </x:c>
      <x:c r="B35" s="30" t="str">
        <x:v>E制作方法</x:v>
      </x:c>
      <x:c r="C35" s="30" t="str">
        <x:v>E05</x:v>
      </x:c>
      <x:c r="D35" s="30" t="str">
        <x:v>音乐与转场声只组织节奏和情绪，不替代内容关系</x:v>
      </x:c>
      <x:c r="E35" s="30" t="str">
        <x:v>支持</x:v>
      </x:c>
      <x:c r="F35" s="30" t="str">
        <x:v>支持</x:v>
      </x:c>
      <x:c r="G35" s="30" t="str">
        <x:v>支持</x:v>
      </x:c>
      <x:c r="H35" s="30" t="str">
        <x:v>支持</x:v>
      </x:c>
      <x:c r="I35" s="30" t="str">
        <x:v>支持</x:v>
      </x:c>
      <x:c r="J35" s="30" t="str">
        <x:v>review_candidate</x:v>
      </x:c>
    </x:row>
    <x:row r="36" ht="21.600000381469727" hidden="0" customHeight="1">
      <x:c r="A36" s="30" t="str">
        <x:v>E-COLOR-001</x:v>
      </x:c>
      <x:c r="B36" s="30" t="str">
        <x:v>E制作方法</x:v>
      </x:c>
      <x:c r="C36" s="30" t="str">
        <x:v>E05</x:v>
      </x:c>
      <x:c r="D36" s="30" t="str">
        <x:v>光线和调色可以组织情绪，但不能误导商品颜色、纹理和结构</x:v>
      </x:c>
      <x:c r="E36" s="30" t="str">
        <x:v>支持</x:v>
      </x:c>
      <x:c r="F36" s="30" t="str">
        <x:v>支持</x:v>
      </x:c>
      <x:c r="G36" s="30" t="str">
        <x:v>支持</x:v>
      </x:c>
      <x:c r="H36" s="30" t="str">
        <x:v>支持</x:v>
      </x:c>
      <x:c r="I36" s="30" t="str">
        <x:v>支持</x:v>
      </x:c>
      <x:c r="J36" s="30" t="str">
        <x:v>review_candidate</x:v>
      </x:c>
    </x:row>
    <x:row r="37" ht="21.600000381469727" hidden="0" customHeight="1">
      <x:c r="A37" s="30" t="str">
        <x:v>E-ACTUALITY-001</x:v>
      </x:c>
      <x:c r="B37" s="30" t="str">
        <x:v>E制作方法</x:v>
      </x:c>
      <x:c r="C37" s="30" t="str">
        <x:v>E05</x:v>
      </x:c>
      <x:c r="D37" s="30" t="str">
        <x:v>区分概念方案、摆拍捕捉与实际捕捉，不把故事真实性和媒体真实性混成一维</x:v>
      </x:c>
      <x:c r="E37" s="30" t="str">
        <x:v>支持</x:v>
      </x:c>
      <x:c r="F37" s="30" t="str">
        <x:v>支持</x:v>
      </x:c>
      <x:c r="G37" s="30" t="str">
        <x:v>支持</x:v>
      </x:c>
      <x:c r="H37" s="30" t="str">
        <x:v>支持</x:v>
      </x:c>
      <x:c r="I37" s="30" t="str">
        <x:v>支持</x:v>
      </x:c>
      <x:c r="J37" s="30" t="str">
        <x:v>review_candidate</x:v>
      </x:c>
    </x:row>
    <x:row r="38" ht="15" hidden="0" customHeight="1">
      <x:c r="A38" s="30" t="str">
        <x:v>E-MEDIA-001</x:v>
      </x:c>
      <x:c r="B38" s="30" t="str">
        <x:v>E制作方法</x:v>
      </x:c>
      <x:c r="C38" s="30" t="str">
        <x:v>E05</x:v>
      </x:c>
      <x:c r="D38" s="30" t="str">
        <x:v>媒体进入系统的来源路径与画面实际性保持正交</x:v>
      </x:c>
      <x:c r="E38" s="30" t="str">
        <x:v>支持</x:v>
      </x:c>
      <x:c r="F38" s="30" t="str">
        <x:v>支持</x:v>
      </x:c>
      <x:c r="G38" s="30" t="str">
        <x:v>支持</x:v>
      </x:c>
      <x:c r="H38" s="30" t="str">
        <x:v>支持</x:v>
      </x:c>
      <x:c r="I38" s="30" t="str">
        <x:v>支持</x:v>
      </x:c>
      <x:c r="J38" s="30" t="str">
        <x:v>review_candidate</x:v>
      </x:c>
    </x:row>
  </x:sheetData>
  <x:mergeCells>
    <x:mergeCell ref="A1:J1"/>
    <x:mergeCell ref="A2:J2"/>
  </x:mergeCells>
  <x:conditionalFormatting sqref="E5:E38">
    <x:cfRule type="expression" dxfId="4" priority="1">
      <x:formula>E5="支持"</x:formula>
    </x:cfRule>
  </x:conditionalFormatting>
  <x:conditionalFormatting sqref="F5:F38">
    <x:cfRule type="expression" dxfId="5" priority="2">
      <x:formula>F5="支持"</x:formula>
    </x:cfRule>
  </x:conditionalFormatting>
  <x:conditionalFormatting sqref="G5:G38">
    <x:cfRule type="expression" dxfId="6" priority="3">
      <x:formula>G5="支持"</x:formula>
    </x:cfRule>
  </x:conditionalFormatting>
  <x:conditionalFormatting sqref="H5:H38">
    <x:cfRule type="expression" dxfId="7" priority="4">
      <x:formula>H5="支持"</x:formula>
    </x:cfRule>
  </x:conditionalFormatting>
  <x:conditionalFormatting sqref="I5:I38">
    <x:cfRule type="expression" dxfId="8" priority="5">
      <x:formula>I5="支持"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88170d9bf6d490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32" hidden="0" customWidth="1"/>
    <x:col min="5" max="5" width="16" hidden="0" customWidth="1"/>
    <x:col min="6" max="6" width="42" hidden="0" customWidth="1"/>
    <x:col min="7" max="7" width="42" hidden="0" customWidth="1"/>
    <x:col min="8" max="8" width="42" hidden="0" customWidth="1"/>
  </x:cols>
  <x:sheetData>
    <x:row r="1" ht="19.200000762939453" hidden="0" customHeight="1">
      <x:c r="A1" s="5" t="str">
        <x:v>B08 / E 视觉媒介验证夹具</x:v>
      </x:c>
      <x:c r="B1" s="5"/>
      <x:c r="C1" s="5"/>
      <x:c r="D1" s="5"/>
      <x:c r="E1" s="5"/>
      <x:c r="F1" s="5"/>
      <x:c r="G1" s="5"/>
      <x:c r="H1" s="5"/>
    </x:row>
    <x:row r="2" ht="72" hidden="0" customHeight="1">
      <x:c r="A2" s="13" t="str">
        <x:v>日常生产不逐条运行；用于黄金任务、实质性版本回归和必要诊断抽样。</x:v>
      </x:c>
      <x:c r="B2" s="13"/>
      <x:c r="C2" s="13"/>
      <x:c r="D2" s="13"/>
      <x:c r="E2" s="13"/>
      <x:c r="F2" s="13"/>
      <x:c r="G2" s="13"/>
      <x:c r="H2" s="13"/>
    </x:row>
    <x:row r="3"/>
    <x:row r="4" ht="15" hidden="0" customHeight="1">
      <x:c r="A4" s="22" t="str">
        <x:v>夹具ID</x:v>
      </x:c>
      <x:c r="B4" s="22" t="str">
        <x:v>类型</x:v>
      </x:c>
      <x:c r="C4" s="22" t="str">
        <x:v>支撑产品</x:v>
      </x:c>
      <x:c r="D4" s="22" t="str">
        <x:v>关联资产</x:v>
      </x:c>
      <x:c r="E4" s="22" t="str">
        <x:v>执行范围</x:v>
      </x:c>
      <x:c r="F4" s="22" t="str">
        <x:v>输入/变化</x:v>
      </x:c>
      <x:c r="G4" s="22" t="str">
        <x:v>预期</x:v>
      </x:c>
      <x:c r="H4" s="22" t="str">
        <x:v>禁止</x:v>
      </x:c>
    </x:row>
    <x:row r="5" ht="84" hidden="0" customHeight="1">
      <x:c r="A5" s="30" t="str">
        <x:v>BE-V01</x:v>
      </x:c>
      <x:c r="B5" s="30" t="str">
        <x:v>p5_vertical_gold</x:v>
      </x:c>
      <x:c r="C5" s="30" t="str">
        <x:v>P5</x:v>
      </x:c>
      <x:c r="D5" s="30" t="str">
        <x:v>B-VIS-001; B-VIS-003; E-SOLO-003</x:v>
      </x:c>
      <x:c r="E5" s="30" t="str">
        <x:v>offline_gold</x:v>
      </x:c>
      <x:c r="F5" s="30" t="str">
        <x:v>使用折线之间·南城店账号、双面短外套 ZX-C218、一人一手机固定支架；命题为同一人同一内搭同一动作，只改变外套朝外的一面。</x:v>
      </x:c>
      <x:c r="G5" s="30" t="str">
        <x:v>围绕一条可见造型命题形成完整成品；轮廓/纹理的变化由真实商品、动作和画面承担，文字与声音只放大。</x:v>
      </x:c>
      <x:c r="H5" s="30" t="str">
        <x:v>把黄金动作节点、台词、炭灰/格纹映射固化为后续 P5 模板。</x:v>
      </x:c>
    </x:row>
    <x:row r="6" ht="84" hidden="0" customHeight="1">
      <x:c r="A6" s="30" t="str">
        <x:v>BE-V02</x:v>
      </x:c>
      <x:c r="B6" s="30" t="str">
        <x:v>p5_hard_boundary</x:v>
      </x:c>
      <x:c r="C6" s="30" t="str">
        <x:v>P5</x:v>
      </x:c>
      <x:c r="D6" s="30" t="str">
        <x:v>B-VIS-002; B-VIS-003</x:v>
      </x:c>
      <x:c r="E6" s="30" t="str">
        <x:v>offline_gold</x:v>
      </x:c>
      <x:c r="F6" s="30" t="str">
        <x:v>从 P5 任务中移除全部真实品牌商品，只保留“拍一条有高级感的门店穿搭”。</x:v>
      </x:c>
      <x:c r="G6" s="30" t="str">
        <x:v>不得继续生成 P5；只作一次最小选品/上传提示，或按主要价值改路由。</x:v>
      </x:c>
      <x:c r="H6" s="30" t="str">
        <x:v>凭空发明商品、用通用审美素材替代真实品牌商品。</x:v>
      </x:c>
    </x:row>
    <x:row r="7" ht="84" hidden="0" customHeight="1">
      <x:c r="A7" s="30" t="str">
        <x:v>BE-V03</x:v>
      </x:c>
      <x:c r="B7" s="30" t="str">
        <x:v>counterfactual_product</x:v>
      </x:c>
      <x:c r="C7" s="30" t="str">
        <x:v>P5</x:v>
      </x:c>
      <x:c r="D7" s="30" t="str">
        <x:v>B-VIS-004; E-VISUAL-003</x:v>
      </x:c>
      <x:c r="E7" s="30" t="str">
        <x:v>offline_regression</x:v>
      </x:c>
      <x:c r="F7" s="30" t="str">
        <x:v>将双面短外套替换为单面单粒扣西装，账号、受众和制作条件保持不变。</x:v>
      </x:c>
      <x:c r="G7" s="30" t="str">
        <x:v>可见命题、承重动作和画面顺序必须实质重写；不能继续使用翻面或轮廓/纹理二元切换。</x:v>
      </x:c>
      <x:c r="H7" s="30" t="str">
        <x:v>只替换商品名、字幕或颜色，镜头结构完全不变。</x:v>
      </x:c>
    </x:row>
    <x:row r="8" ht="84" hidden="0" customHeight="1">
      <x:c r="A8" s="30" t="str">
        <x:v>BE-V04</x:v>
      </x:c>
      <x:c r="B8" s="30" t="str">
        <x:v>counterfactual_brand</x:v>
      </x:c>
      <x:c r="C8" s="30" t="str">
        <x:v>P5,P3,P4</x:v>
      </x:c>
      <x:c r="D8" s="30" t="str">
        <x:v>B-VIS-005; E-VISUAL-002</x:v>
      </x:c>
      <x:c r="E8" s="30" t="str">
        <x:v>offline_gold</x:v>
      </x:c>
      <x:c r="F8" s="30" t="str">
        <x:v>保持商品和受众不变，将品牌基线替换为关系姿态、审美选择和表达幅度明显不同的合成品牌。</x:v>
      </x:c>
      <x:c r="G8" s="30" t="str">
        <x:v>视觉重音、空间距离、动作幅度、停留与声音结构发生实质变化。</x:v>
      </x:c>
      <x:c r="H8" s="30" t="str">
        <x:v>只换品牌名、Logo、片尾或统一滤镜。</x:v>
      </x:c>
    </x:row>
    <x:row r="9" ht="84" hidden="0" customHeight="1">
      <x:c r="A9" s="30" t="str">
        <x:v>BE-V05</x:v>
      </x:c>
      <x:c r="B9" s="30" t="str">
        <x:v>p5_visual_burden</x:v>
      </x:c>
      <x:c r="C9" s="30" t="str">
        <x:v>P5,P3</x:v>
      </x:c>
      <x:c r="D9" s="30" t="str">
        <x:v>B-VIS-001; B-VIS-003; E-TEXT-001</x:v>
      </x:c>
      <x:c r="E9" s="30" t="str">
        <x:v>offline_gold</x:v>
      </x:c>
      <x:c r="F9" s="30" t="str">
        <x:v>删除商品关系、动作和承重画面，只保留“人没换，画面的重音换了”及口播。</x:v>
      </x:c>
      <x:c r="G9" s="30" t="str">
        <x:v>不得继续判为 P5；若品牌观点仍成立，可重写为 P3。</x:v>
      </x:c>
      <x:c r="H9" s="30" t="str">
        <x:v>用字幕或口播声称画面已经证明造型变化。</x:v>
      </x:c>
    </x:row>
    <x:row r="10" ht="84" hidden="0" customHeight="1">
      <x:c r="A10" s="30" t="str">
        <x:v>BE-V06</x:v>
      </x:c>
      <x:c r="B10" s="30" t="str">
        <x:v>application_routing</x:v>
      </x:c>
      <x:c r="C10" s="30" t="str">
        <x:v>P5</x:v>
      </x:c>
      <x:c r="D10" s="30" t="str">
        <x:v>E-SOLO-004; E-ACTUALITY-001</x:v>
      </x:c>
      <x:c r="E10" s="30" t="str">
        <x:v>offline_gold</x:v>
      </x:c>
      <x:c r="F10" s="30" t="str">
        <x:v>把任务改为“根据门店空间、橱窗尺寸和商品数量给出陈列执行方案”。</x:v>
      </x:c>
      <x:c r="G10" s="30" t="str">
        <x:v>退出 content-production/P5，进入 display-merchandising；生成 DisplayArtifact 语义成果。</x:v>
      </x:c>
      <x:c r="H10" s="30" t="str">
        <x:v>把 P5 内容画面直接作为门店执行方案或现场证据。</x:v>
      </x:c>
    </x:row>
    <x:row r="11" ht="84" hidden="0" customHeight="1">
      <x:c r="A11" s="30" t="str">
        <x:v>BE-V07</x:v>
      </x:c>
      <x:c r="B11" s="30" t="str">
        <x:v>actuality_boundary</x:v>
      </x:c>
      <x:c r="C11" s="30" t="str">
        <x:v>P5,P3,P4</x:v>
      </x:c>
      <x:c r="D11" s="30" t="str">
        <x:v>E-ACTUALITY-001</x:v>
      </x:c>
      <x:c r="E11" s="30" t="str">
        <x:v>offline_gold</x:v>
      </x:c>
      <x:c r="F11" s="30" t="str">
        <x:v>同一视觉方向分别要求“可直接发布的实拍成品”和“尚未拍摄的完整概念方案”。</x:v>
      </x:c>
      <x:c r="G11" s="30" t="str">
        <x:v>两者都可完整交付，但概念方案明确为待拍/概念，不冒充已实拍或当前门店状态。</x:v>
      </x:c>
      <x:c r="H11" s="30" t="str">
        <x:v>为概念方案另建第二个 P5 产品，或把概念图当真实商品外观。</x:v>
      </x:c>
    </x:row>
    <x:row r="12" ht="84" hidden="0" customHeight="1">
      <x:c r="A12" s="30" t="str">
        <x:v>BE-V08</x:v>
      </x:c>
      <x:c r="B12" s="30" t="str">
        <x:v>visual_proposition_boundary</x:v>
      </x:c>
      <x:c r="C12" s="30" t="str">
        <x:v>P5</x:v>
      </x:c>
      <x:c r="D12" s="30" t="str">
        <x:v>B-VIS-001; E-VISUAL-001</x:v>
      </x:c>
      <x:c r="E12" s="30" t="str">
        <x:v>offline_gold</x:v>
      </x:c>
      <x:c r="F12" s="30" t="str">
        <x:v>输入只有“做一条高级、松弛、秋日感的穿搭内容”，商品已选但无具体视觉关系。</x:v>
      </x:c>
      <x:c r="G12" s="30" t="str">
        <x:v>系统主动收敛出可复述的新穿着可能；若无法建立，不以抽象词直接交付 P5。</x:v>
      </x:c>
      <x:c r="H12" s="30" t="str">
        <x:v>普通站姿、暖色滤镜、咖啡道具和“高级感”标题即判合格。</x:v>
      </x:c>
    </x:row>
    <x:row r="13" ht="84" hidden="0" customHeight="1">
      <x:c r="A13" s="30" t="str">
        <x:v>BE-V09</x:v>
      </x:c>
      <x:c r="B13" s="30" t="str">
        <x:v>product_relation_boundary</x:v>
      </x:c>
      <x:c r="C13" s="30" t="str">
        <x:v>P5,P1,P2</x:v>
      </x:c>
      <x:c r="D13" s="30" t="str">
        <x:v>B-VIS-002</x:v>
      </x:c>
      <x:c r="E13" s="30" t="str">
        <x:v>offline_regression</x:v>
      </x:c>
      <x:c r="F13" s="30" t="str">
        <x:v>一件外套与身体动作已足以成立命题；系统被要求“补齐完整搭配”。</x:v>
      </x:c>
      <x:c r="G13" s="30" t="str">
        <x:v>不强迫加入鞋包和第二件商品；只在新增关系有不可替代价值时加入。</x:v>
      </x:c>
      <x:c r="H13" s="30" t="str">
        <x:v>为了格式完整机械生成三套穿法或购物清单。</x:v>
      </x:c>
    </x:row>
    <x:row r="14" ht="84" hidden="0" customHeight="1">
      <x:c r="A14" s="30" t="str">
        <x:v>BE-V10</x:v>
      </x:c>
      <x:c r="B14" s="30" t="str">
        <x:v>relationship_carrier</x:v>
      </x:c>
      <x:c r="C14" s="30" t="str">
        <x:v>P5</x:v>
      </x:c>
      <x:c r="D14" s="30" t="str">
        <x:v>B-VIS-003</x:v>
      </x:c>
      <x:c r="E14" s="30" t="str">
        <x:v>offline_gold</x:v>
      </x:c>
      <x:c r="F14" s="30" t="str">
        <x:v>画面只展示商品平铺和模特静站，未体现身体、动作、组合或环境关系。</x:v>
      </x:c>
      <x:c r="G14" s="30" t="str">
        <x:v>若没有具体可见关系，判为普通商品展示/P2 辅助视觉，不判 P5。</x:v>
      </x:c>
      <x:c r="H14" s="30" t="str">
        <x:v>以商品出现、背景好看或品牌 Logo 自证穿着想象。</x:v>
      </x:c>
    </x:row>
    <x:row r="15" ht="84" hidden="0" customHeight="1">
      <x:c r="A15" s="30" t="str">
        <x:v>BE-V11</x:v>
      </x:c>
      <x:c r="B15" s="30" t="str">
        <x:v>visual_variable_control</x:v>
      </x:c>
      <x:c r="C15" s="30" t="str">
        <x:v>P5,P1,P2</x:v>
      </x:c>
      <x:c r="D15" s="30" t="str">
        <x:v>B-VIS-004; E-VISUAL-004</x:v>
      </x:c>
      <x:c r="E15" s="30" t="str">
        <x:v>offline_regression</x:v>
      </x:c>
      <x:c r="F15" s="30" t="str">
        <x:v>比较两种穿着状态，但同时更换人物、机位、光线、内搭和动作。</x:v>
      </x:c>
      <x:c r="G15" s="30" t="str">
        <x:v>系统应收敛主要变量并保留足够不变量，或放弃“变化证明”口径。</x:v>
      </x:c>
      <x:c r="H15" s="30" t="str">
        <x:v>把不同拍摄条件造成的差异归因于商品/造型。</x:v>
      </x:c>
    </x:row>
    <x:row r="16" ht="84" hidden="0" customHeight="1">
      <x:c r="A16" s="30" t="str">
        <x:v>BE-V12</x:v>
      </x:c>
      <x:c r="B16" s="30" t="str">
        <x:v>brand_visual_sensitivity</x:v>
      </x:c>
      <x:c r="C16" s="30" t="str">
        <x:v>P5,P3,P4</x:v>
      </x:c>
      <x:c r="D16" s="30" t="str">
        <x:v>B-VIS-005</x:v>
      </x:c>
      <x:c r="E16" s="30" t="str">
        <x:v>offline_regression</x:v>
      </x:c>
      <x:c r="F16" s="30" t="str">
        <x:v>删除品牌名、Logo和固定滤镜后，内容仍可原封不动交给任何品牌。</x:v>
      </x:c>
      <x:c r="G16" s="30" t="str">
        <x:v>品牌基线应实质改变视觉组织；否则后台重写，不按锚点数量机械通过。</x:v>
      </x:c>
      <x:c r="H16" s="30" t="str">
        <x:v>用品牌色、片尾和标识替代品牌审美结构。</x:v>
      </x:c>
    </x:row>
    <x:row r="17" ht="84" hidden="0" customHeight="1">
      <x:c r="A17" s="30" t="str">
        <x:v>BE-V13</x:v>
      </x:c>
      <x:c r="B17" s="30" t="str">
        <x:v>non_narrative_visual</x:v>
      </x:c>
      <x:c r="C17" s="30" t="str">
        <x:v>P5</x:v>
      </x:c>
      <x:c r="D17" s="30" t="str">
        <x:v>B-VIS-006; E-FORM-002</x:v>
      </x:c>
      <x:c r="E17" s="30" t="str">
        <x:v>offline_gold</x:v>
      </x:c>
      <x:c r="F17" s="30" t="str">
        <x:v>一个完整造型关系可由单帧和一次动作直接看见，用户明确不要讲故事。</x:v>
      </x:c>
      <x:c r="G17" s="30" t="str">
        <x:v>交付纯视觉或极少文字的完整 P5；不强加人物冲突、对白和反转。</x:v>
      </x:c>
      <x:c r="H17" s="30" t="str">
        <x:v>认为没有故事就不完整，或把纯视觉做成无主线镜头拼贴。</x:v>
      </x:c>
    </x:row>
    <x:row r="18" ht="84" hidden="0" customHeight="1">
      <x:c r="A18" s="30" t="str">
        <x:v>BE-V14</x:v>
      </x:c>
      <x:c r="B18" s="30" t="str">
        <x:v>resource_grammar_decoupling</x:v>
      </x:c>
      <x:c r="C18" s="30" t="str">
        <x:v>P1,P2,P3,P4,P5</x:v>
      </x:c>
      <x:c r="D18" s="30" t="str">
        <x:v>E-RESOURCE-001</x:v>
      </x:c>
      <x:c r="E18" s="30" t="str">
        <x:v>offline_gold</x:v>
      </x:c>
      <x:c r="F18" s="30" t="str">
        <x:v>同一任务分别给出一人一手机与三人团队条件。</x:v>
      </x:c>
      <x:c r="G18" s="30" t="str">
        <x:v>可选择不同语法和制作展开，但主要产品价值保持；单人不被限为口播，团队不被强制故事化。</x:v>
      </x:c>
      <x:c r="H18" s="30" t="str">
        <x:v>建立门店版/总部版产品或固定资源—形式映射。</x:v>
      </x:c>
    </x:row>
    <x:row r="19" ht="84" hidden="0" customHeight="1">
      <x:c r="A19" s="30" t="str">
        <x:v>BE-V15</x:v>
      </x:c>
      <x:c r="B19" s="30" t="str">
        <x:v>compilation_order</x:v>
      </x:c>
      <x:c r="C19" s="30" t="str">
        <x:v>P1,P2,P3,P4,P5</x:v>
      </x:c>
      <x:c r="D19" s="30" t="str">
        <x:v>E-RESOURCE-002</x:v>
      </x:c>
      <x:c r="E19" s="30" t="str">
        <x:v>offline_regression</x:v>
      </x:c>
      <x:c r="F19" s="30" t="str">
        <x:v>输入同时给出商品、平台、时长、音效和三种形式，但主要成果未明确。</x:v>
      </x:c>
      <x:c r="G19" s="30" t="str">
        <x:v>先按主任务损失测试确定一个产品，再确定承重关系、表现语法和资源。</x:v>
      </x:c>
      <x:c r="H19" s="30" t="str">
        <x:v>直接输出一张九项媒体字段表或形式拼盘。</x:v>
      </x:c>
    </x:row>
    <x:row r="20" ht="84" hidden="0" customHeight="1">
      <x:c r="A20" s="30" t="str">
        <x:v>BE-V16</x:v>
      </x:c>
      <x:c r="B20" s="30" t="str">
        <x:v>single_current_version</x:v>
      </x:c>
      <x:c r="C20" s="30" t="str">
        <x:v>P1,P2,P3,P4,P5</x:v>
      </x:c>
      <x:c r="D20" s="30" t="str">
        <x:v>E-RESOURCE-003</x:v>
      </x:c>
      <x:c r="E20" s="30" t="str">
        <x:v>offline_gold</x:v>
      </x:c>
      <x:c r="F20" s="30" t="str">
        <x:v>门店明确只有一人一手机，用户要求可直接拍发。</x:v>
      </x:c>
      <x:c r="G20" s="30" t="str">
        <x:v>只交一个当前条件下完整主版本；不先给团队方案，也不默认附低配/高配。</x:v>
      </x:c>
      <x:c r="H20" s="30" t="str">
        <x:v>主方案不可执行，只在末尾写“可自行简化”。</x:v>
      </x:c>
    </x:row>
    <x:row r="21" ht="84" hidden="0" customHeight="1">
      <x:c r="A21" s="30" t="str">
        <x:v>BE-V17</x:v>
      </x:c>
      <x:c r="B21" s="30" t="str">
        <x:v>team_expansion</x:v>
      </x:c>
      <x:c r="C21" s="30" t="str">
        <x:v>P5,P1,P2,P3,P4</x:v>
      </x:c>
      <x:c r="D21" s="30" t="str">
        <x:v>E-RESOURCE-004</x:v>
      </x:c>
      <x:c r="E21" s="30" t="str">
        <x:v>offline_regression</x:v>
      </x:c>
      <x:c r="F21" s="30" t="str">
        <x:v>将同一命题升级为总部团队制作，增加人物、空间和灯光。</x:v>
      </x:c>
      <x:c r="G21" s="30" t="str">
        <x:v>新增资源深化同一主线和品牌视觉；不把内容改成空泛宣传片或另一产品。</x:v>
      </x:c>
      <x:c r="H21" s="30" t="str">
        <x:v>复杂度本身成为价值，真实商品关系被布景替代。</x:v>
      </x:c>
    </x:row>
    <x:row r="22" ht="84" hidden="0" customHeight="1">
      <x:c r="A22" s="30" t="str">
        <x:v>BE-V18</x:v>
      </x:c>
      <x:c r="B22" s="30" t="str">
        <x:v>solo_feasibility_red_team</x:v>
      </x:c>
      <x:c r="C22" s="30" t="str">
        <x:v>P5,P3,P4</x:v>
      </x:c>
      <x:c r="D22" s="30" t="str">
        <x:v>E-SOLO-001</x:v>
      </x:c>
      <x:c r="E22" s="30" t="str">
        <x:v>offline_gold</x:v>
      </x:c>
      <x:c r="F22" s="30" t="str">
        <x:v>脚本标注“一人制作”，却要求摄影师围绕人物移动跟拍。</x:v>
      </x:c>
      <x:c r="G22" s="30" t="str">
        <x:v>判不可执行并重写为固定机位、自拍或可独立完成的补拍方案。</x:v>
      </x:c>
      <x:c r="H22" s="30" t="str">
        <x:v>把第三人称移动跟拍视为单人可完成。</x:v>
      </x:c>
    </x:row>
    <x:row r="23" ht="84" hidden="0" customHeight="1">
      <x:c r="A23" s="30" t="str">
        <x:v>BE-V19</x:v>
      </x:c>
      <x:c r="B23" s="30" t="str">
        <x:v>solo_fixed_camera_pass</x:v>
      </x:c>
      <x:c r="C23" s="30" t="str">
        <x:v>P5,P1,P2,P3,P4</x:v>
      </x:c>
      <x:c r="D23" s="30" t="str">
        <x:v>E-SOLO-001; E-SOLO-002; E-SOLO-004</x:v>
      </x:c>
      <x:c r="E23" s="30" t="str">
        <x:v>offline_gold</x:v>
      </x:c>
      <x:c r="F23" s="30" t="str">
        <x:v>普通门店、一部手机、固定支架、自然光，需要全身和局部。</x:v>
      </x:c>
      <x:c r="G23" s="30" t="str">
        <x:v>用动作区、人物距离与独立补拍完成必要景别；背景和光线不误导商品。</x:v>
      </x:c>
      <x:c r="H23" s="30" t="str">
        <x:v>虚构摄影师、昂贵设备或多个外景。</x:v>
      </x:c>
    </x:row>
    <x:row r="24" ht="84" hidden="0" customHeight="1">
      <x:c r="A24" s="30" t="str">
        <x:v>BE-V20</x:v>
      </x:c>
      <x:c r="B24" s="30" t="str">
        <x:v>action_continuity</x:v>
      </x:c>
      <x:c r="C24" s="30" t="str">
        <x:v>P5,P1,P2</x:v>
      </x:c>
      <x:c r="D24" s="30" t="str">
        <x:v>E-SOLO-003; E-VISUAL-004</x:v>
      </x:c>
      <x:c r="E24" s="30" t="str">
        <x:v>offline_regression</x:v>
      </x:c>
      <x:c r="F24" s="30" t="str">
        <x:v>同一动作跨两次拍摄切换商品状态。</x:v>
      </x:c>
      <x:c r="G24" s="30" t="str">
        <x:v>方向、位置与速度足以连续；转场服务变化理解，不抢主线。</x:v>
      </x:c>
      <x:c r="H24" s="30" t="str">
        <x:v>对位不准、通过剪辑伪造效果或固化同一转场模板。</x:v>
      </x:c>
    </x:row>
    <x:row r="25" ht="84" hidden="0" customHeight="1">
      <x:c r="A25" s="30" t="str">
        <x:v>BE-V21</x:v>
      </x:c>
      <x:c r="B25" s="30" t="str">
        <x:v>form_by_product_value</x:v>
      </x:c>
      <x:c r="C25" s="30" t="str">
        <x:v>P1,P2,P3,P4,P5</x:v>
      </x:c>
      <x:c r="D25" s="30" t="str">
        <x:v>E-FORM-001</x:v>
      </x:c>
      <x:c r="E25" s="30" t="str">
        <x:v>offline_gold</x:v>
      </x:c>
      <x:c r="F25" s="30" t="str">
        <x:v>同一件短外套分别要求帮助选择、解释商品、建立人格、回应本地问题和创造欲望。</x:v>
      </x:c>
      <x:c r="G25" s="30" t="str">
        <x:v>可调用同样的画面能力，但分别保持 P1/P2/P3/P4/P5 主价值，不按关键词路由。</x:v>
      </x:c>
      <x:c r="H25" s="30" t="str">
        <x:v>有商品就P2、有画面就P5、有门店就P4。</x:v>
      </x:c>
    </x:row>
    <x:row r="26" ht="84" hidden="0" customHeight="1">
      <x:c r="A26" s="30" t="str">
        <x:v>BE-V22</x:v>
      </x:c>
      <x:c r="B26" s="30" t="str">
        <x:v>speech_visual_division</x:v>
      </x:c>
      <x:c r="C26" s="30" t="str">
        <x:v>P1,P2,P4,P5,P3</x:v>
      </x:c>
      <x:c r="D26" s="30" t="str">
        <x:v>E-FORM-003; E-FORM-004</x:v>
      </x:c>
      <x:c r="E26" s="30" t="str">
        <x:v>offline_regression</x:v>
      </x:c>
      <x:c r="F26" s="30" t="str">
        <x:v>核心变化可由动作展示，但仍需要一句条件解释。</x:v>
      </x:c>
      <x:c r="G26" s="30" t="str">
        <x:v>边讲边演示或旁白与画面分工；话语不逐帧复述，画面不替语言承担条件。</x:v>
      </x:c>
      <x:c r="H26" s="30" t="str">
        <x:v>口播念参数、旁白声称画面未显示的结果。</x:v>
      </x:c>
    </x:row>
    <x:row r="27" ht="84" hidden="0" customHeight="1">
      <x:c r="A27" s="30" t="str">
        <x:v>BE-V23</x:v>
      </x:c>
      <x:c r="B27" s="30" t="str">
        <x:v>dialogue_boundary</x:v>
      </x:c>
      <x:c r="C27" s="30" t="str">
        <x:v>P3,P4,P1,P2</x:v>
      </x:c>
      <x:c r="D27" s="30" t="str">
        <x:v>E-FORM-005</x:v>
      </x:c>
      <x:c r="E27" s="30" t="str">
        <x:v>offline_gold</x:v>
      </x:c>
      <x:c r="F27" s="30" t="str">
        <x:v>用户要求“双人对话更有趣”，但任务没有真实第二人或关系差异。</x:v>
      </x:c>
      <x:c r="G27" s="30" t="str">
        <x:v>不强加双人；可改为单人公开回应、屏显问题或明确演绎。</x:v>
      </x:c>
      <x:c r="H27" s="30" t="str">
        <x:v>虚构顾客对白和真实门店案例。</x:v>
      </x:c>
    </x:row>
    <x:row r="28" ht="84" hidden="0" customHeight="1">
      <x:c r="A28" s="30" t="str">
        <x:v>BE-V24</x:v>
      </x:c>
      <x:c r="B28" s="30" t="str">
        <x:v>image_sequence</x:v>
      </x:c>
      <x:c r="C28" s="30" t="str">
        <x:v>P1,P2,P3,P4,P5</x:v>
      </x:c>
      <x:c r="D28" s="30" t="str">
        <x:v>E-FORM-006</x:v>
      </x:c>
      <x:c r="E28" s="30" t="str">
        <x:v>offline_regression</x:v>
      </x:c>
      <x:c r="F28" s="30" t="str">
        <x:v>将一条视频改为图片组。</x:v>
      </x:c>
      <x:c r="G28" s="30" t="str">
        <x:v>重新设计首图和每张图的唯一职责；图片数按需要，不逐帧截图。</x:v>
      </x:c>
      <x:c r="H28" s="30" t="str">
        <x:v>九宫格重复站姿、每图同一句标题或只裁切视频帧。</x:v>
      </x:c>
    </x:row>
    <x:row r="29" ht="84" hidden="0" customHeight="1">
      <x:c r="A29" s="30" t="str">
        <x:v>BE-V25</x:v>
      </x:c>
      <x:c r="B29" s="30" t="str">
        <x:v>natural_duration</x:v>
      </x:c>
      <x:c r="C29" s="30" t="str">
        <x:v>P1,P2,P3,P4,P5</x:v>
      </x:c>
      <x:c r="D29" s="30" t="str">
        <x:v>E-TIME-001</x:v>
      </x:c>
      <x:c r="E29" s="30" t="str">
        <x:v>offline_gold</x:v>
      </x:c>
      <x:c r="F29" s="30" t="str">
        <x:v>用户未指定时长，系统需要给一个可完整发布的版本。</x:v>
      </x:c>
      <x:c r="G29" s="30" t="str">
        <x:v>按主价值和承重内容形成无冗余自然时长；不套统一15/30/45秒。</x:v>
      </x:c>
      <x:c r="H29" s="30" t="str">
        <x:v>为满足固定秒数删除关键边界，或以完整为由注水。</x:v>
      </x:c>
    </x:row>
    <x:row r="30" ht="84" hidden="0" customHeight="1">
      <x:c r="A30" s="30" t="str">
        <x:v>BE-V26</x:v>
      </x:c>
      <x:c r="B30" s="30" t="str">
        <x:v>duration_and_cross_format</x:v>
      </x:c>
      <x:c r="C30" s="30" t="str">
        <x:v>P1,P2,P3,P4,P5</x:v>
      </x:c>
      <x:c r="D30" s="30" t="str">
        <x:v>E-TIME-002; E-TIME-003; E-ADAPT-001</x:v>
      </x:c>
      <x:c r="E30" s="30" t="str">
        <x:v>offline_gold</x:v>
      </x:c>
      <x:c r="F30" s="30" t="str">
        <x:v>同一成品分别要求缩短、延长并改为另一媒体。</x:v>
      </x:c>
      <x:c r="G30" s="30" t="str">
        <x:v>缩短按功能重组；延长增加真实证据/关系；跨媒体保持主价值、事实、品牌账号和商品绑定。</x:v>
      </x:c>
      <x:c r="H30" s="30" t="str">
        <x:v>机械截断、同义反复、逐句搬运或只裁切画幅。</x:v>
      </x:c>
    </x:row>
    <x:row r="31" ht="84" hidden="0" customHeight="1">
      <x:c r="A31" s="30" t="str">
        <x:v>BE-V27</x:v>
      </x:c>
      <x:c r="B31" s="30" t="str">
        <x:v>visual_entry_hierarchy_sequence</x:v>
      </x:c>
      <x:c r="C31" s="30" t="str">
        <x:v>P5,P1,P2,P3,P4</x:v>
      </x:c>
      <x:c r="D31" s="30" t="str">
        <x:v>E-VISUAL-001; E-VISUAL-002; E-VISUAL-003</x:v>
      </x:c>
      <x:c r="E31" s="30" t="str">
        <x:v>offline_gold</x:v>
      </x:c>
      <x:c r="F31" s="30" t="str">
        <x:v>首画面为普通站姿，之后堆叠多个漂亮镜头才出现真正关系。</x:v>
      </x:c>
      <x:c r="G31" s="30" t="str">
        <x:v>首个主要视觉入口先给出具体承诺，后续按主次和顺序兑现；镜头数量不固定。</x:v>
      </x:c>
      <x:c r="H31" s="30" t="str">
        <x:v>开场与主线无关、所有元素同等突出、镜头可任意交换。</x:v>
      </x:c>
    </x:row>
    <x:row r="32" ht="84" hidden="0" customHeight="1">
      <x:c r="A32" s="30" t="str">
        <x:v>BE-V28</x:v>
      </x:c>
      <x:c r="B32" s="30" t="str">
        <x:v>text_not_evidence</x:v>
      </x:c>
      <x:c r="C32" s="30" t="str">
        <x:v>P5,P1,P2,P3,P4</x:v>
      </x:c>
      <x:c r="D32" s="30" t="str">
        <x:v>E-TEXT-001</x:v>
      </x:c>
      <x:c r="E32" s="30" t="str">
        <x:v>offline_regression</x:v>
      </x:c>
      <x:c r="F32" s="30" t="str">
        <x:v>屏显文字写“轮廓先到/纹理先到”，但画面中两者没有可辨差异。</x:v>
      </x:c>
      <x:c r="G32" s="30" t="str">
        <x:v>不得以文字代替视觉证据；重拍、改命题或退出 P5。</x:v>
      </x:c>
      <x:c r="H32" s="30" t="str">
        <x:v>文字正确就判画面通过。</x:v>
      </x:c>
    </x:row>
    <x:row r="33" ht="84" hidden="0" customHeight="1">
      <x:c r="A33" s="30" t="str">
        <x:v>BE-V29</x:v>
      </x:c>
      <x:c r="B33" s="30" t="str">
        <x:v>sound_color_fidelity</x:v>
      </x:c>
      <x:c r="C33" s="30" t="str">
        <x:v>P5,P2,P3,P4,P1</x:v>
      </x:c>
      <x:c r="D33" s="30" t="str">
        <x:v>E-SOUND-001; E-SOUND-002; E-COLOR-001</x:v>
      </x:c>
      <x:c r="E33" s="30" t="str">
        <x:v>offline_gold</x:v>
      </x:c>
      <x:c r="F33" s="30" t="str">
        <x:v>音乐强、转场密集、滤镜把深绿格纹压成近黑，衣料声完全听不见。</x:v>
      </x:c>
      <x:c r="G33" s="30" t="str">
        <x:v>降低声音刺激，保留真实动作/衣料声；调色不能误导商品颜色和纹理。</x:v>
      </x:c>
      <x:c r="H33" s="30" t="str">
        <x:v>音乐和滤镜替代商品关系，或伪造材质声音。</x:v>
      </x:c>
    </x:row>
    <x:row r="34" ht="84" hidden="0" customHeight="1">
      <x:c r="A34" s="30" t="str">
        <x:v>BE-V30</x:v>
      </x:c>
      <x:c r="B34" s="30" t="str">
        <x:v>actuality_provenance</x:v>
      </x:c>
      <x:c r="C34" s="30" t="str">
        <x:v>P1,P2,P3,P4,P5</x:v>
      </x:c>
      <x:c r="D34" s="30" t="str">
        <x:v>E-ACTUALITY-001; E-MEDIA-001</x:v>
      </x:c>
      <x:c r="E34" s="30" t="str">
        <x:v>offline_gold</x:v>
      </x:c>
      <x:c r="F34" s="30" t="str">
        <x:v>用户上传一张合成的待拍参考图，并称故事来自真实经历。</x:v>
      </x:c>
      <x:c r="G34" s="30" t="str">
        <x:v>故事前提可按用户提供使用；媒体标为概念/合成参考，不能因“用户上传”推定为真实抓拍或已获所有用途授权。</x:v>
      </x:c>
      <x:c r="H34" s="30" t="str">
        <x:v>把故事真实性、媒体实际性、上传路径和权利状态合并判断。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1a2627a458547b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8" hidden="0" customWidth="1"/>
    <x:col min="4" max="4" width="24" hidden="0" customWidth="1"/>
    <x:col min="5" max="5" width="38" hidden="0" customWidth="1"/>
    <x:col min="6" max="6" width="44" hidden="0" customWidth="1"/>
    <x:col min="7" max="7" width="44" hidden="0" customWidth="1"/>
  </x:cols>
  <x:sheetData>
    <x:row r="1" ht="19.200000762939453" hidden="0" customHeight="1">
      <x:c r="A1" s="5" t="str">
        <x:v>第四批来源索引</x:v>
      </x:c>
      <x:c r="B1" s="5"/>
      <x:c r="C1" s="5"/>
      <x:c r="D1" s="5"/>
      <x:c r="E1" s="5"/>
      <x:c r="F1" s="5"/>
      <x:c r="G1" s="5"/>
    </x:row>
    <x:row r="2" ht="60" hidden="0" customHeight="1">
      <x:c r="A2" s="13" t="str">
        <x:v>正式 ADR 冻结业务边界；用户最新裁决覆盖旧 P5 历史状态；专家综合候选需黄金和真实制作复核。</x:v>
      </x:c>
      <x:c r="B2" s="13"/>
      <x:c r="C2" s="13"/>
      <x:c r="D2" s="13"/>
      <x:c r="E2" s="13"/>
      <x:c r="F2" s="13"/>
      <x:c r="G2" s="13"/>
    </x:row>
    <x:row r="3"/>
    <x:row r="4" ht="15" hidden="0" customHeight="1">
      <x:c r="A4" s="22" t="str">
        <x:v>来源ID</x:v>
      </x:c>
      <x:c r="B4" s="22" t="str">
        <x:v>标题</x:v>
      </x:c>
      <x:c r="C4" s="22" t="str">
        <x:v>类型</x:v>
      </x:c>
      <x:c r="D4" s="22" t="str">
        <x:v>权威状态</x:v>
      </x:c>
      <x:c r="E4" s="22" t="str">
        <x:v>使用范围</x:v>
      </x:c>
      <x:c r="F4" s="22" t="str">
        <x:v>文件/位置</x:v>
      </x:c>
      <x:c r="G4" s="22" t="str">
        <x:v>备注</x:v>
      </x:c>
    </x:row>
    <x:row r="5" ht="66" hidden="0" customHeight="1">
      <x:c r="A5" s="30" t="str">
        <x:v>PRJ-STRATEGY-V1</x:v>
      </x:c>
      <x:c r="B5" s="30" t="str">
        <x:v>服装品牌组织型 IP 内容战略与知识库建设基线 V1.0</x:v>
      </x:c>
      <x:c r="C5" s="30" t="str">
        <x:v>战略基线</x:v>
      </x:c>
      <x:c r="D5" s="30" t="str">
        <x:v>重要参考；不覆盖后续 ADR</x:v>
      </x:c>
      <x:c r="E5" s="30" t="str">
        <x:v>长期审美世界、组织型 IP、真实人物/商品/生活场景与多层渠道的视觉方向</x:v>
      </x:c>
      <x:c r="F5" s="30" t="str">
        <x:v>服装品牌组织型IP内容战略与知识库建设基线.docx</x:v>
      </x:c>
      <x:c r="G5" s="30" t="str">
        <x:v>用于品牌视觉和组织角色方向；不把固定账号数、比例、平台或拍法写成全租户规则。</x:v>
      </x:c>
    </x:row>
    <x:row r="6" ht="66" hidden="0" customHeight="1">
      <x:c r="A6" s="30" t="str">
        <x:v>PRJ-ADR-001</x:v>
      </x:c>
      <x:c r="B6" s="30" t="str">
        <x:v>ADR-001：知识库混合路线</x:v>
      </x:c>
      <x:c r="C6" s="30" t="str">
        <x:v>正式 ADR</x:v>
      </x:c>
      <x:c r="D6" s="30" t="str">
        <x:v>已接受</x:v>
      </x:c>
      <x:c r="E6" s="30" t="str">
        <x:v>业务任务反推、轻量语义、不过度本体化</x:v>
      </x:c>
      <x:c r="F6" s="30" t="str">
        <x:v>ADR-001-知识库混合路线(2).md</x:v>
      </x:c>
      <x:c r="G6" s="30" t="str">
        <x:v>约束本批只生成逻辑卡片、JSONL 候选和追踪矩阵，不冻结物理模型。</x:v>
      </x:c>
    </x:row>
    <x:row r="7" ht="66" hidden="0" customHeight="1">
      <x:c r="A7" s="30" t="str">
        <x:v>PRJ-ADR-002</x:v>
      </x:c>
      <x:c r="B7" s="30" t="str">
        <x:v>ADR-002：双应用陈列语义边界</x:v>
      </x:c>
      <x:c r="C7" s="30" t="str">
        <x:v>正式 ADR</x:v>
      </x:c>
      <x:c r="D7" s="30" t="str">
        <x:v>已接受</x:v>
      </x:c>
      <x:c r="E7" s="30" t="str">
        <x:v>P5 内容表达与零售经营陈列分离；概念/摆拍/实际边界</x:v>
      </x:c>
      <x:c r="F7" s="30" t="str">
        <x:v>ADR-002-双应用陈列语义边界(2).md</x:v>
      </x:c>
      <x:c r="G7" s="30" t="str">
        <x:v>P5 内容画面不得反向成为 DisplayArtifact、执行方案或现场证据。</x:v>
      </x:c>
    </x:row>
    <x:row r="8" ht="66" hidden="0" customHeight="1">
      <x:c r="A8" s="30" t="str">
        <x:v>PRJ-ADR-003</x:v>
      </x:c>
      <x:c r="B8" s="30" t="str">
        <x:v>ADR-003：可扩展应用模块与版本兼容</x:v>
      </x:c>
      <x:c r="C8" s="30" t="str">
        <x:v>正式 ADR</x:v>
      </x:c>
      <x:c r="D8" s="30" t="str">
        <x:v>已接受</x:v>
      </x:c>
      <x:c r="E8" s="30" t="str">
        <x:v>稳定核心、模块私有合同、未实现能力不预建</x:v>
      </x:c>
      <x:c r="F8" s="30" t="str">
        <x:v>ADR-003-可扩展应用模块与版本兼容(2).md</x:v>
      </x:c>
      <x:c r="G8" s="30" t="str">
        <x:v>D-032、D-030 未关闭前不预建平台/媒体空模块和万能载荷。</x:v>
      </x:c>
    </x:row>
    <x:row r="9" ht="66" hidden="0" customHeight="1">
      <x:c r="A9" s="30" t="str">
        <x:v>PRJ-ADR-006</x:v>
      </x:c>
      <x:c r="B9" s="30" t="str">
        <x:v>ADR-006：赋能而非监管与责任不转移</x:v>
      </x:c>
      <x:c r="C9" s="30" t="str">
        <x:v>正式 ADR</x:v>
      </x:c>
      <x:c r="D9" s="30" t="str">
        <x:v>已接受</x:v>
      </x:c>
      <x:c r="E9" s="30" t="str">
        <x:v>系统提供可制作建议与防错，不替用户完成素材授权、拍摄和发布责任</x:v>
      </x:c>
      <x:c r="F9" s="30" t="str">
        <x:v>ADR-006-赋能而非监管与责任不转移(2).md</x:v>
      </x:c>
      <x:c r="G9" s="30" t="str">
        <x:v>媒体方法不能描述为系统已保证合法、已执行或平台一定通过。</x:v>
      </x:c>
    </x:row>
    <x:row r="10" ht="66" hidden="0" customHeight="1">
      <x:c r="A10" s="30" t="str">
        <x:v>PRJ-ADR-008</x:v>
      </x:c>
      <x:c r="B10" s="30" t="str">
        <x:v>ADR-008：个人私有原始素材隔离与首期禁止共享</x:v>
      </x:c>
      <x:c r="C10" s="30" t="str">
        <x:v>正式 ADR</x:v>
      </x:c>
      <x:c r="D10" s="30" t="str">
        <x:v>已被 ADR-012 部分修订；授权期隔离仍有效</x:v>
      </x:c>
      <x:c r="E10" s="30" t="str">
        <x:v>个人素材只由本人在当前授权期使用；组织和公共素材边界</x:v>
      </x:c>
      <x:c r="F10" s="30" t="str">
        <x:v>ADR-008-个人私有原始素材隔离与首期禁止共享(2).md</x:v>
      </x:c>
      <x:c r="G10" s="30" t="str">
        <x:v>环境声、背景人物和媒体引用不得穿透私人素材权限。</x:v>
      </x:c>
    </x:row>
    <x:row r="11" ht="66" hidden="0" customHeight="1">
      <x:c r="A11" s="30" t="str">
        <x:v>PRJ-ADR-009</x:v>
      </x:c>
      <x:c r="B11" s="30" t="str">
        <x:v>ADR-009：成长期公共素材发布与创意上下文降级</x:v>
      </x:c>
      <x:c r="C11" s="30" t="str">
        <x:v>正式 ADR</x:v>
      </x:c>
      <x:c r="D11" s="30" t="str">
        <x:v>已接受；第一版不实现公共素材模块</x:v>
      </x:c>
      <x:c r="E11" s="30" t="str">
        <x:v>公共素材仅补创意软槽位，不补事实；媒体与知识分离</x:v>
      </x:c>
      <x:c r="F11" s="30" t="str">
        <x:v>ADR-009-成长期公共素材发布与创意上下文降级(2).md</x:v>
      </x:c>
      <x:c r="G11" s="30" t="str">
        <x:v>媒体来源路径不等于事实权威或实际性。</x:v>
      </x:c>
    </x:row>
    <x:row r="12" ht="66" hidden="0" customHeight="1">
      <x:c r="A12" s="30" t="str">
        <x:v>PRJ-ADR-013</x:v>
      </x:c>
      <x:c r="B12" s="30" t="str">
        <x:v>ADR-013：五类内容产品正式基线</x:v>
      </x:c>
      <x:c r="C12" s="30" t="str">
        <x:v>正式 ADR</x:v>
      </x:c>
      <x:c r="D12" s="30" t="str">
        <x:v>已接受</x:v>
      </x:c>
      <x:c r="E12" s="30" t="str">
        <x:v>一成品一主产品、P5 真实商品边界、品牌相关硬门</x:v>
      </x:c>
      <x:c r="F12" s="30" t="str">
        <x:v>ADR-013-五类内容产品正式基线(2).md</x:v>
      </x:c>
      <x:c r="G12" s="30" t="str">
        <x:v>造型、构图、镜头和声音是共享能力，不因调用自动产生第二产品。</x:v>
      </x:c>
    </x:row>
    <x:row r="13" ht="66" hidden="0" customHeight="1">
      <x:c r="A13" s="30" t="str">
        <x:v>PRJ-ADR-014</x:v>
      </x:c>
      <x:c r="B13" s="30" t="str">
        <x:v>ADR-014：内容生成运行语义与评测分层</x:v>
      </x:c>
      <x:c r="C13" s="30" t="str">
        <x:v>正式 ADR</x:v>
      </x:c>
      <x:c r="D13" s="30" t="str">
        <x:v>已接受</x:v>
      </x:c>
      <x:c r="E13" s="30" t="str">
        <x:v>自然协作、成品优先、当前制作条件、单主产品、在线轻检/离线评测</x:v>
      </x:c>
      <x:c r="F13" s="30" t="str">
        <x:v>ADR-014-内容生成运行语义与评测分层(1).md</x:v>
      </x:c>
      <x:c r="G13" s="30" t="str">
        <x:v>不向用户展示运行轨迹、来源分类、分数或淘汰候选。</x:v>
      </x:c>
    </x:row>
    <x:row r="14" ht="66" hidden="0" customHeight="1">
      <x:c r="A14" s="30" t="str">
        <x:v>PRJ-MOTHER-V03</x:v>
      </x:c>
      <x:c r="B14" s="30" t="str">
        <x:v>笛语第一版五类内容产品合同 V0.3 共享语义母稿</x:v>
      </x:c>
      <x:c r="C14" s="30" t="str">
        <x:v>已确认语义母稿</x:v>
      </x:c>
      <x:c r="D14" s="30" t="str">
        <x:v>共用语义有效；文件内 P5 历史状态需以最新裁决覆盖</x:v>
      </x:c>
      <x:c r="E14" s="30" t="str">
        <x:v>P1—P5 主价值、媒体实际性、自然时长、共享能力与成品交付</x:v>
      </x:c>
      <x:c r="F14" s="30" t="str">
        <x:v>笛语第一版五类内容产品合同讨论稿(3).md</x:v>
      </x:c>
      <x:c r="G14" s="30" t="str">
        <x:v>本批引用共用语义和已确认 P5-A/B；P5-C/D 关闭以 PRJ-P5-CLOSE 为准。</x:v>
      </x:c>
    </x:row>
    <x:row r="15" ht="66" hidden="0" customHeight="1">
      <x:c r="A15" s="30" t="str">
        <x:v>PRJ-P5-CLOSE-20260721</x:v>
      </x:c>
      <x:c r="B15" s="30" t="str">
        <x:v>P5-C 单一可见造型命题与 P5-D 黄金关闭</x:v>
      </x:c>
      <x:c r="C15" s="30" t="str">
        <x:v>用户最新明确裁决</x:v>
      </x:c>
      <x:c r="D15" s="30" t="str">
        <x:v>已确认；待正式项目文件同步</x:v>
      </x:c>
      <x:c r="E15" s="30" t="str">
        <x:v>P5 一条可见命题、真实商品关系按需、画面承重、媒体组成按需、六项单变量检查</x:v>
      </x:c>
      <x:c r="F15" s="30" t="str">
        <x:v>第二批-AB专业核心知识包-v0.1/00-上游裁决同步与P5关闭记录-v0.1.md</x:v>
      </x:c>
      <x:c r="G15" s="30" t="str">
        <x:v>P5 已关闭 5/5；黄金实现不能固化为通用模板。</x:v>
      </x:c>
    </x:row>
    <x:row r="16" ht="66" hidden="0" customHeight="1">
      <x:c r="A16" s="30" t="str">
        <x:v>PRJ-D032-BOUNDARY</x:v>
      </x:c>
      <x:c r="B16" s="30" t="str">
        <x:v>D-032 首期平台、媒体成品与制作条件待决边界</x:v>
      </x:c>
      <x:c r="C16" s="30" t="str">
        <x:v>待决策项及已确认上游原则</x:v>
      </x:c>
      <x:c r="D16" s="30" t="str">
        <x:v>平台/成品包仍待决；自然时长与资源/语法解耦为上游原则</x:v>
      </x:c>
      <x:c r="E16" s="30" t="str">
        <x:v>不设统一时长、制作资源与表现语法分开、跨形式改写保持业务不变量</x:v>
      </x:c>
      <x:c r="F16" s="30" t="str">
        <x:v>待决策清单.md</x:v>
      </x:c>
      <x:c r="G16" s="30" t="str">
        <x:v>本批只建稳定方法，不冻结平台、尺寸、镜头/图片数、字幕安全区、曲库或输出包。</x:v>
      </x:c>
    </x:row>
    <x:row r="17" ht="66" hidden="0" customHeight="1">
      <x:c r="A17" s="30" t="str">
        <x:v>PRJ-AB-B08</x:v>
      </x:c>
      <x:c r="B17" s="30" t="str">
        <x:v>第二批 B08 可见造型命题与主视觉重音候选</x:v>
      </x:c>
      <x:c r="C17" s="30" t="str">
        <x:v>已交付知识候选</x:v>
      </x:c>
      <x:c r="D17" s="30" t="str">
        <x:v>review_candidate</x:v>
      </x:c>
      <x:c r="E17" s="30" t="str">
        <x:v>单一主视觉重音、商品组合按需、P5 黄金拍法不模板化</x:v>
      </x:c>
      <x:c r="F17" s="30" t="str">
        <x:v>第二批-AB专业核心知识包-v0.1/03-B穿搭与造型知识卡-v0.1.md</x:v>
      </x:c>
      <x:c r="G17" s="30" t="str">
        <x:v>本批补充 B08，不重复 B-CREATIVE-002。</x:v>
      </x:c>
    </x:row>
    <x:row r="18" ht="66" hidden="0" customHeight="1">
      <x:c r="A18" s="30" t="str">
        <x:v>PRJ-CDF-D</x:v>
      </x:c>
      <x:c r="B18" s="30" t="str">
        <x:v>第三批 D 创作与叙事方法卡</x:v>
      </x:c>
      <x:c r="C18" s="30" t="str">
        <x:v>已交付方法候选</x:v>
      </x:c>
      <x:c r="D18" s="30" t="str">
        <x:v>review_candidate</x:v>
      </x:c>
      <x:c r="E18" s="30" t="str">
        <x:v>直接判断、条件解释、认知反转、视觉动作、结构节奏与反模板</x:v>
      </x:c>
      <x:c r="F18" s="30" t="str">
        <x:v>第三批-CDF场景创作与角色能力包-v0.1/03-D创作与叙事方法卡-v0.1.md</x:v>
      </x:c>
      <x:c r="G18" s="30" t="str">
        <x:v>E 只负责媒体和制作，不复制 D 的叙事/文案方法。</x:v>
      </x:c>
    </x:row>
    <x:row r="19" ht="66" hidden="0" customHeight="1">
      <x:c r="A19" s="30" t="str">
        <x:v>EXP-BE-VISUAL-001</x:v>
      </x:c>
      <x:c r="B19" s="30" t="str">
        <x:v>P5 可见造型命题与视觉关系专家综合候选</x:v>
      </x:c>
      <x:c r="C19" s="30" t="str">
        <x:v>本批专家综合候选</x:v>
      </x:c>
      <x:c r="D19" s="30" t="str">
        <x:v>非行业真理；待黄金和品牌反事实复核</x:v>
      </x:c>
      <x:c r="E19" s="30" t="str">
        <x:v>可见命题、必要商品关系、承重关系、变量/不变量与品牌视觉结构</x:v>
      </x:c>
      <x:c r="F19" s="30" t="str">
        <x:v>本包内部</x:v>
      </x:c>
      <x:c r="G19" s="30" t="str">
        <x:v>不冻结具体动作、镜头、商品数、审美风格或黄金台词。</x:v>
      </x:c>
    </x:row>
    <x:row r="20" ht="66" hidden="0" customHeight="1">
      <x:c r="A20" s="30" t="str">
        <x:v>EXP-BE-MEDIA-001</x:v>
      </x:c>
      <x:c r="B20" s="30" t="str">
        <x:v>跨媒体稳定语法与成品编译专家综合候选</x:v>
      </x:c>
      <x:c r="C20" s="30" t="str">
        <x:v>本批专家综合候选</x:v>
      </x:c>
      <x:c r="D20" s="30" t="str">
        <x:v>方法候选；待真实制作与 D-032 校准</x:v>
      </x:c>
      <x:c r="E20" s="30" t="str">
        <x:v>形式选择、自然时长、跨媒体改写、观看路径、文字和声音分工</x:v>
      </x:c>
      <x:c r="F20" s="30" t="str">
        <x:v>本包内部</x:v>
      </x:c>
      <x:c r="G20" s="30" t="str">
        <x:v>不是平台规则，不替代 D-032。</x:v>
      </x:c>
    </x:row>
    <x:row r="21" ht="66" hidden="0" customHeight="1">
      <x:c r="A21" s="30" t="str">
        <x:v>EXP-BE-SOLO-001</x:v>
      </x:c>
      <x:c r="B21" s="30" t="str">
        <x:v>一人一手机轻制作专家综合候选</x:v>
      </x:c>
      <x:c r="C21" s="30" t="str">
        <x:v>本批专家综合候选</x:v>
      </x:c>
      <x:c r="D21" s="30" t="str">
        <x:v>方法候选；待门店实拍验证</x:v>
      </x:c>
      <x:c r="E21" s="30" t="str">
        <x:v>固定机位、动作区、主体移动、多景别补拍和普通空间控制</x:v>
      </x:c>
      <x:c r="F21" s="30" t="str">
        <x:v>本包内部</x:v>
      </x:c>
      <x:c r="G21" s="30" t="str">
        <x:v>不跨地区猜算成本，不假设摄影师或复杂设备。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d2727c408e342a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 ht="19.200000762939453" hidden="0" customHeight="1">
      <x:c r="A1" s="5" t="str">
        <x:v>第四批激活前复核说明</x:v>
      </x:c>
      <x:c r="B1" s="5"/>
      <x:c r="C1" s="5"/>
      <x:c r="D1" s="5"/>
      <x:c r="E1" s="5"/>
      <x:c r="F1" s="5"/>
    </x:row>
    <x:row r="2" ht="36" hidden="0" customHeight="1">
      <x:c r="A2" s="13" t="str">
        <x:v>本表是复核顺序，不是面向普通用户的审阅视图或后台运行报告。</x:v>
      </x:c>
      <x:c r="B2" s="13"/>
      <x:c r="C2" s="13"/>
      <x:c r="D2" s="13"/>
      <x:c r="E2" s="13"/>
      <x:c r="F2" s="13"/>
    </x:row>
    <x:row r="3"/>
    <x:row r="4" ht="15" hidden="0" customHeight="1">
      <x:c r="A4" s="22" t="str">
        <x:v>复核项</x:v>
      </x:c>
      <x:c r="B4" s="22" t="str">
        <x:v>判断</x:v>
      </x:c>
    </x:row>
    <x:row r="5" ht="42" hidden="0" customHeight="1">
      <x:c r="A5" s="30" t="str">
        <x:v>1. 产品价值</x:v>
      </x:c>
      <x:c r="B5" s="30" t="str">
        <x:v>方法是否仍服务唯一主要 P1—P5 合同；构图、镜头、造型和声音不自动启动第二产品。</x:v>
      </x:c>
    </x:row>
    <x:row r="6" ht="42" hidden="0" customHeight="1">
      <x:c r="A6" s="30" t="str">
        <x:v>2. P5 视觉</x:v>
      </x:c>
      <x:c r="B6" s="30" t="str">
        <x:v>可见命题是否具体；真实商品是否不可替换；删除承重画面后 P5 是否失效。</x:v>
      </x:c>
    </x:row>
    <x:row r="7" ht="42" hidden="0" customHeight="1">
      <x:c r="A7" s="30" t="str">
        <x:v>3. 制作可行</x:v>
      </x:c>
      <x:c r="B7" s="30" t="str">
        <x:v>一人/双人/团队条件下是否真实可执行；是否暗含摄影师、设备、场地、成本或后期。</x:v>
      </x:c>
    </x:row>
    <x:row r="8" ht="42" hidden="0" customHeight="1">
      <x:c r="A8" s="30" t="str">
        <x:v>4. 商品忠实</x:v>
      </x:c>
      <x:c r="B8" s="30" t="str">
        <x:v>光线、滤镜、角度、剪辑是否误导颜色、纹理、结构、比例和穿着结果。</x:v>
      </x:c>
    </x:row>
    <x:row r="9" ht="42" hidden="0" customHeight="1">
      <x:c r="A9" s="30" t="str">
        <x:v>5. 媒体实际性</x:v>
      </x:c>
      <x:c r="B9" s="30" t="str">
        <x:v>概念、摆拍和实际捕捉是否清楚；是否使用默认值+少量例外而非逐镜头用户标注。</x:v>
      </x:c>
    </x:row>
    <x:row r="10" ht="42" hidden="0" customHeight="1">
      <x:c r="A10" s="30" t="str">
        <x:v>6. 素材边界</x:v>
      </x:c>
      <x:c r="B10" s="30" t="str">
        <x:v>来源路径、实际性、权利和事实是否正交；私人/组织/公共素材权限是否保持。</x:v>
      </x:c>
    </x:row>
    <x:row r="11" ht="42" hidden="0" customHeight="1">
      <x:c r="A11" s="30" t="str">
        <x:v>7. 反模板</x:v>
      </x:c>
      <x:c r="B11" s="30" t="str">
        <x:v>是否把黄金动作、转场、慢镜头、低饱和、自然光或所谓高级感固化。</x:v>
      </x:c>
    </x:row>
    <x:row r="12" ht="42" hidden="0" customHeight="1">
      <x:c r="A12" s="30" t="str">
        <x:v>8. D-032 对接</x:v>
      </x:c>
      <x:c r="B12" s="30" t="str">
        <x:v>后续只补平台、尺寸、成品包和跨平台验收，不改写本批稳定语义。</x:v>
      </x:c>
    </x:row>
    <x:row r="13" ht="42" hidden="0" customHeight="1">
      <x:c r="A13" s="30" t="str">
        <x:v>9. 激活条件</x:v>
      </x:c>
      <x:c r="B13" s="30" t="str">
        <x:v>通过相关黄金/回归与真实制作测试后，按资产 ID 裁决 active/revise/delete/deferred。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ad3e7ebd03b4085"/>
  </x:tableParts>
</x:worksheet>
</file>