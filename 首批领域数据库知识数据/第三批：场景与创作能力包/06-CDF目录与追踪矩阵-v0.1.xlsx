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71f4039ae74ef1" /></Relationships>
</file>

<file path=xl/workbook.xml><?xml version="1.0" encoding="utf-8"?>
<x:workbook xmlns:x="http://schemas.openxmlformats.org/spreadsheetml/2006/main">
  <x:sheets>
    <x:sheet xmlns:r="http://schemas.openxmlformats.org/officeDocument/2006/relationships" name="总览" sheetId="1" r:id="Rb0e5d61fbf50402a"/>
    <x:sheet xmlns:r="http://schemas.openxmlformats.org/officeDocument/2006/relationships" name="C场景卡目录" sheetId="2" r:id="Rfabb937d26984389"/>
    <x:sheet xmlns:r="http://schemas.openxmlformats.org/officeDocument/2006/relationships" name="D方法卡目录" sheetId="3" r:id="Rff39026bec5049f7"/>
    <x:sheet xmlns:r="http://schemas.openxmlformats.org/officeDocument/2006/relationships" name="F角色模板目录" sheetId="4" r:id="R49f9c96c788445e1"/>
    <x:sheet xmlns:r="http://schemas.openxmlformats.org/officeDocument/2006/relationships" name="需求映射" sheetId="5" r:id="Rfbcb998a747a411e"/>
    <x:sheet xmlns:r="http://schemas.openxmlformats.org/officeDocument/2006/relationships" name="来源索引" sheetId="6" r:id="R061d1a6e328f4753"/>
    <x:sheet xmlns:r="http://schemas.openxmlformats.org/officeDocument/2006/relationships" name="验证夹具" sheetId="7" r:id="R62cbffbff92c408f"/>
    <x:sheet xmlns:r="http://schemas.openxmlformats.org/officeDocument/2006/relationships" name="复核说明" sheetId="8" r:id="R40c3954d33b24b1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0"/>
      <x:color rgb="FF173B53"/>
      <x:name val="Carlito"/>
    </x:font>
    <x:font>
      <x:b/>
      <x:sz val="10"/>
      <x:color rgb="FFFFFFFF"/>
      <x:name val="Carlito"/>
    </x:font>
    <x:font>
      <x:sz val="9"/>
      <x:color rgb="FF18323F"/>
      <x:name val="Carlito"/>
    </x:font>
    <x:font>
      <x:sz val="10"/>
      <x:color rgb="FF7A4A00"/>
      <x:name val="Carlito"/>
    </x:font>
  </x:fonts>
  <x:fills count="7">
    <x:fill>
      <x:patternFill patternType="none"/>
    </x:fill>
    <x:fill>
      <x:patternFill patternType="gray125"/>
    </x:fill>
    <x:fill>
      <x:patternFill patternType="solid">
        <x:fgColor rgb="FF173B53"/>
      </x:patternFill>
    </x:fill>
    <x:fill>
      <x:patternFill patternType="solid">
        <x:fgColor rgb="FFDCECF3"/>
      </x:patternFill>
    </x:fill>
    <x:fill>
      <x:patternFill patternType="solid">
        <x:fgColor rgb="FF2B6F7E"/>
      </x:patternFill>
    </x:fill>
    <x:fill>
      <x:patternFill patternType="solid">
        <x:fgColor rgb="FFEAF4F5"/>
      </x:patternFill>
    </x:fill>
    <x:fill>
      <x:patternFill patternType="solid">
        <x:fgColor rgb="FFFFF6DF"/>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horizontal="left"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left" wrapText="1"/>
    </x:xf>
    <x:xf numFmtId="0" fontId="2" fillId="5" borderId="1" xfId="0" applyNumberFormat="1" applyFont="1" applyFill="1" applyBorder="1" applyAlignment="1">
      <x:alignment horizontal="lef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cellXfs>
  <x:cellStyles count="1">
    <x:cellStyle name="Normal" xfId="0"/>
  </x:cellStyles>
  <x:dxfs count="7">
    <x:dxf>
      <x:fill>
        <x:patternFill patternType="solid">
          <x:bgColor rgb="FFFFF2CC"/>
        </x:patternFill>
      </x:fill>
    </x:dxf>
    <x:dxf>
      <x:fill>
        <x:patternFill patternType="solid">
          <x:bgColor rgb="FFE2F0D9"/>
        </x:patternFill>
      </x:fill>
    </x:dxf>
    <x:dxf>
      <x:fill>
        <x:patternFill patternType="solid">
          <x:bgColor rgb="FFF3F5F6"/>
        </x:patternFill>
      </x:fill>
    </x:dxf>
    <x:dxf>
      <x:fill>
        <x:patternFill patternType="solid">
          <x:bgColor rgb="FFDDEBF7"/>
        </x:patternFill>
      </x:fill>
    </x:dxf>
    <x:dxf>
      <x:fill>
        <x:patternFill patternType="solid">
          <x:bgColor rgb="FFE4DFEC"/>
        </x:patternFill>
      </x:fill>
    </x:dxf>
    <x:dxf>
      <x:fill>
        <x:patternFill patternType="solid">
          <x:bgColor rgb="FFF3F5F6"/>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bbf1b345c94360" /><Relationship Type="http://schemas.openxmlformats.org/officeDocument/2006/relationships/theme" Target="/xl/theme/theme1.xml" Id="R0bc420fab09a4b45" /><Relationship Type="http://schemas.openxmlformats.org/officeDocument/2006/relationships/sharedStrings" Target="/xl/sharedStrings.xml" Id="R1eb9bebb9ad84f08" /><Relationship Type="http://schemas.openxmlformats.org/officeDocument/2006/relationships/worksheet" Target="/xl/worksheets/sheet1.xml" Id="Rb0e5d61fbf50402a" /><Relationship Type="http://schemas.openxmlformats.org/officeDocument/2006/relationships/worksheet" Target="/xl/worksheets/sheet2.xml" Id="Rfabb937d26984389" /><Relationship Type="http://schemas.openxmlformats.org/officeDocument/2006/relationships/worksheet" Target="/xl/worksheets/sheet3.xml" Id="Rff39026bec5049f7" /><Relationship Type="http://schemas.openxmlformats.org/officeDocument/2006/relationships/worksheet" Target="/xl/worksheets/sheet4.xml" Id="R49f9c96c788445e1" /><Relationship Type="http://schemas.openxmlformats.org/officeDocument/2006/relationships/worksheet" Target="/xl/worksheets/sheet5.xml" Id="Rfbcb998a747a411e" /><Relationship Type="http://schemas.openxmlformats.org/officeDocument/2006/relationships/worksheet" Target="/xl/worksheets/sheet6.xml" Id="R061d1a6e328f4753" /><Relationship Type="http://schemas.openxmlformats.org/officeDocument/2006/relationships/worksheet" Target="/xl/worksheets/sheet7.xml" Id="R62cbffbff92c408f" /><Relationship Type="http://schemas.openxmlformats.org/officeDocument/2006/relationships/worksheet" Target="/xl/worksheets/sheet8.xml" Id="R40c3954d33b24b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b5ada8fe30bf447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 / D / F 逻辑资产分布</a:t>
            </a:r>
          </a:p>
        </c:rich>
      </c:tx>
      <c:overlay val="0"/>
    </c:title>
    <c:autoTitleDeleted val="0"/>
    <c:plotArea>
      <c:layout/>
      <c:barChart>
        <c:barDir val="col"/>
        <c:grouping val="clustered"/>
        <c:varyColors val="0"/>
        <c:ser>
          <c:idx val="0"/>
          <c:order val="0"/>
          <c:tx>
            <c:v>数量</c:v>
          </c:tx>
          <c:cat>
            <c:strRef>
              <c:f>'总览'!$D$5:$D$7</c:f>
              <c:strCache>
                <c:ptCount val="0"/>
              </c:strCache>
            </c:strRef>
          </c:cat>
          <c:val>
            <c:numRef>
              <c:f>'总览'!$E$5:$E$7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ada8fe30bf447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c79382a0d0b4977"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14" hidden="0" customWidth="1"/>
    <x:col min="6" max="6" width="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8" customHeight="1">
      <x:c r="A1" s="5" t="str">
        <x:v>第三批：C/D/F 场景、创作与角色能力包 v0.1</x:v>
      </x:c>
      <x:c r="B1" s="5"/>
      <x:c r="C1" s="5"/>
      <x:c r="D1" s="5"/>
      <x:c r="E1" s="5"/>
      <x:c r="F1" s="5"/>
      <x:c r="G1" s="5"/>
      <x:c r="H1" s="5"/>
      <x:c r="I1" s="5"/>
      <x:c r="J1" s="5"/>
      <x:c r="K1" s="5"/>
      <x:c r="L1" s="5"/>
      <x:c r="M1" s="5"/>
      <x:c r="N1" s="5"/>
    </x:row>
    <x:row r="2" ht="21" customHeight="1">
      <x:c r="A2" s="13" t="str">
        <x:v>状态：review_candidate｜P1—P5 专属验收 5/5｜本批不冻结平台媒体规格、本体类、数据库表或 Agent</x:v>
      </x:c>
      <x:c r="B2" s="13"/>
      <x:c r="C2" s="13"/>
      <x:c r="D2" s="13"/>
      <x:c r="E2" s="13"/>
      <x:c r="F2" s="13"/>
      <x:c r="G2" s="13"/>
      <x:c r="H2" s="13"/>
      <x:c r="I2" s="13"/>
      <x:c r="J2" s="13"/>
      <x:c r="K2" s="13"/>
      <x:c r="L2" s="13"/>
      <x:c r="M2" s="13"/>
      <x:c r="N2" s="13"/>
    </x:row>
    <x:row r="4">
      <x:c r="A4" s="22" t="str">
        <x:v>指标</x:v>
      </x:c>
      <x:c r="B4" s="22" t="str">
        <x:v>值</x:v>
      </x:c>
      <x:c r="D4" s="22" t="str">
        <x:v>资产类别</x:v>
      </x:c>
      <x:c r="E4" s="22" t="str">
        <x:v>数量</x:v>
      </x:c>
    </x:row>
    <x:row r="5">
      <x:c r="A5" s="30" t="str">
        <x:v>逻辑资产总数</x:v>
      </x:c>
      <x:c r="B5" s="30" t="n">
        <x:f>COUNTA('C场景卡目录'!A5:A200)+COUNTA('D方法卡目录'!A5:A200)+COUNTA('F角色模板目录'!A5:A200)</x:f>
        <x:v>43</x:v>
      </x:c>
      <x:c r="D5" s="30" t="str">
        <x:v>C 场景知识</x:v>
      </x:c>
      <x:c r="E5" s="30" t="n">
        <x:f>B6</x:f>
        <x:v>19</x:v>
      </x:c>
    </x:row>
    <x:row r="6">
      <x:c r="A6" s="30" t="str">
        <x:v>C 场景知识卡</x:v>
      </x:c>
      <x:c r="B6" s="30" t="n">
        <x:f>COUNTA('C场景卡目录'!A5:A200)</x:f>
        <x:v>19</x:v>
      </x:c>
      <x:c r="D6" s="30" t="str">
        <x:v>D 生成方法</x:v>
      </x:c>
      <x:c r="E6" s="30" t="n">
        <x:f>B7</x:f>
        <x:v>16</x:v>
      </x:c>
    </x:row>
    <x:row r="7">
      <x:c r="A7" s="30" t="str">
        <x:v>D 生成方法卡</x:v>
      </x:c>
      <x:c r="B7" s="30" t="n">
        <x:f>COUNTA('D方法卡目录'!A5:A200)</x:f>
        <x:v>16</x:v>
      </x:c>
      <x:c r="D7" s="30" t="str">
        <x:v>F 行业模板</x:v>
      </x:c>
      <x:c r="E7" s="30" t="n">
        <x:f>B8</x:f>
        <x:v>8</x:v>
      </x:c>
    </x:row>
    <x:row r="8">
      <x:c r="A8" s="30" t="str">
        <x:v>F 行业模板卡</x:v>
      </x:c>
      <x:c r="B8" s="30" t="n">
        <x:f>COUNTA('F角色模板目录'!A5:A200)</x:f>
        <x:v>8</x:v>
      </x:c>
    </x:row>
    <x:row r="9">
      <x:c r="A9" s="30" t="str">
        <x:v>C 条件性规律</x:v>
      </x:c>
      <x:c r="B9" s="30" t="n">
        <x:f>COUNTIF('C场景卡目录'!E5:E200,"conditional_rule")</x:f>
        <x:v>13</x:v>
      </x:c>
      <x:c r="D9" s="22" t="str">
        <x:v>C 类硬度</x:v>
      </x:c>
      <x:c r="E9" s="22" t="str">
        <x:v>数量</x:v>
      </x:c>
    </x:row>
    <x:row r="10">
      <x:c r="A10" s="30" t="str">
        <x:v>C 创意候选</x:v>
      </x:c>
      <x:c r="B10" s="30" t="n">
        <x:f>COUNTIF('C场景卡目录'!E5:E200,"creative_candidate")</x:f>
        <x:v>6</x:v>
      </x:c>
      <x:c r="D10" s="30" t="str">
        <x:v>条件性专业规律</x:v>
      </x:c>
      <x:c r="E10" s="30" t="n">
        <x:f>B9</x:f>
        <x:v>13</x:v>
      </x:c>
    </x:row>
    <x:row r="11">
      <x:c r="A11" s="30" t="str">
        <x:v>来源条目</x:v>
      </x:c>
      <x:c r="B11" s="30" t="n">
        <x:f>COUNTA('来源索引'!A5:A200)</x:f>
        <x:v>15</x:v>
      </x:c>
      <x:c r="D11" s="30" t="str">
        <x:v>审美/经验/创意候选</x:v>
      </x:c>
      <x:c r="E11" s="30" t="n">
        <x:f>B10</x:f>
        <x:v>6</x:v>
      </x:c>
    </x:row>
    <x:row r="12">
      <x:c r="A12" s="30" t="str">
        <x:v>验证夹具</x:v>
      </x:c>
      <x:c r="B12" s="30" t="n">
        <x:f>COUNTA('验证夹具'!A5:A200)</x:f>
        <x:v>25</x:v>
      </x:c>
    </x:row>
    <x:row r="13">
      <x:c r="A13" s="30" t="str">
        <x:v>已覆盖需求主题</x:v>
      </x:c>
      <x:c r="B13" s="30" t="n">
        <x:f>COUNTA('需求映射'!A5:A200)</x:f>
        <x:v>19</x:v>
      </x:c>
    </x:row>
    <x:row r="14">
      <x:c r="A14" s="30" t="str">
        <x:v>当前激活状态</x:v>
      </x:c>
      <x:c r="B14" s="30" t="str">
        <x:v>review_candidate</x:v>
      </x:c>
    </x:row>
    <x:row r="16">
      <x:c r="A16" s="38" t="str">
        <x:v>本批锁定的上游结论</x:v>
      </x:c>
      <x:c r="B16" s="38"/>
      <x:c r="C16" s="38"/>
    </x:row>
    <x:row r="17">
      <x:c r="A17" s="47" t="str">
        <x:v>• C 只保存场景条件、张力与创意方向，不建人群画像、故事库或 CRM。
• D 是编译方法，不是成品模板；故事、问答、幽默和视觉只是共享能力。
• F 是企业确认前的角色原型，不等于操作人、权限角色、发布账号或正式 ContentRole。
• 真实种子可充分增益，承重身份、关系、结果、时间地点数量与硬事实不得改写。
• P3 禁止 AI 口水化与强行升华；P4 在地性必须实质改变处境、判断、行动或关系。
• P5 已正式关闭；具体平台、时长、镜头数与成品组成仍由 D-032 决定。
• 所有资产当前均为 review_candidate，需黄金任务和专业复核后才可激活。</x:v>
      </x:c>
      <x:c r="B17" s="47"/>
      <x:c r="C17" s="47"/>
    </x:row>
    <x:row r="18">
      <x:c r="A18" s="47"/>
      <x:c r="B18" s="47"/>
      <x:c r="C18" s="47"/>
    </x:row>
    <x:row r="19">
      <x:c r="A19" s="47"/>
      <x:c r="B19" s="47"/>
      <x:c r="C19" s="47"/>
    </x:row>
    <x:row r="20">
      <x:c r="A20" s="47"/>
      <x:c r="B20" s="47"/>
      <x:c r="C20" s="47"/>
    </x:row>
    <x:row r="21">
      <x:c r="A21" s="47"/>
      <x:c r="B21" s="47"/>
      <x:c r="C21" s="47"/>
    </x:row>
    <x:row r="22">
      <x:c r="A22" s="47"/>
      <x:c r="B22" s="47"/>
      <x:c r="C22" s="47"/>
    </x:row>
    <x:row r="23">
      <x:c r="A23" s="47"/>
      <x:c r="B23" s="47"/>
      <x:c r="C23" s="47"/>
    </x:row>
    <x:row r="24">
      <x:c r="A24" s="47"/>
      <x:c r="B24" s="47"/>
      <x:c r="C24" s="47"/>
    </x:row>
    <x:row r="25">
      <x:c r="A25" s="47"/>
      <x:c r="B25" s="47"/>
      <x:c r="C25" s="47"/>
    </x:row>
    <x:row r="26">
      <x:c r="A26" s="47"/>
      <x:c r="B26" s="47"/>
      <x:c r="C26" s="47"/>
    </x:row>
  </x:sheetData>
  <x:mergeCells>
    <x:mergeCell ref="A1:N1"/>
    <x:mergeCell ref="A2:N2"/>
    <x:mergeCell ref="A16:C16"/>
    <x:mergeCell ref="A17:C26"/>
  </x:mergeCells>
  <x:pageMargins left="0.7" right="0.7" top="0.75" bottom="0.75" header="0.3" footer="0.3"/>
  <x:drawing xmlns:r="http://schemas.openxmlformats.org/officeDocument/2006/relationships" r:id="R1c79382a0d0b4977"/>
</x:worksheet>
</file>

<file path=xl/worksheets/sheet2.xml><?xml version="1.0" encoding="utf-8"?>
<x:worksheet xmlns:x="http://schemas.openxmlformats.org/spreadsheetml/2006/main">
  <x:sheetFormatPr defaultRowHeight="15"/>
  <x:cols>
    <x:col min="1" max="1" width="20" hidden="0" customWidth="1"/>
    <x:col min="2" max="2" width="8" hidden="0" customWidth="1"/>
    <x:col min="3" max="3" width="20" hidden="0" customWidth="1"/>
    <x:col min="4" max="4" width="28" hidden="0" customWidth="1"/>
    <x:col min="5" max="5" width="18" hidden="0" customWidth="1"/>
    <x:col min="6" max="6" width="16" hidden="0" customWidth="1"/>
    <x:col min="7" max="7" width="5" hidden="0" customWidth="1"/>
    <x:col min="8" max="8" width="5" hidden="0" customWidth="1"/>
    <x:col min="9" max="9" width="5" hidden="0" customWidth="1"/>
    <x:col min="10" max="10" width="5" hidden="0" customWidth="1"/>
    <x:col min="11" max="11" width="5" hidden="0" customWidth="1"/>
    <x:col min="12" max="12" width="42" hidden="0" customWidth="1"/>
    <x:col min="13" max="13" width="36" hidden="0" customWidth="1"/>
    <x:col min="14" max="14" width="34" hidden="0" customWidth="1"/>
    <x:col min="15" max="15" width="34" hidden="0" customWidth="1"/>
    <x:col min="16" max="16" width="42" hidden="0" customWidth="1"/>
    <x:col min="17" max="17" width="30" hidden="0" customWidth="1"/>
    <x:col min="18" max="18" width="18" hidden="0" customWidth="1"/>
    <x:col min="19" max="19" width="18" hidden="0" customWidth="1"/>
  </x:cols>
  <x:sheetData>
    <x:row r="1" ht="28" customHeight="1">
      <x:c r="A1" s="5" t="str">
        <x:v>C 人群与生活场景知识卡目录</x:v>
      </x:c>
      <x:c r="B1" s="5"/>
      <x:c r="C1" s="5"/>
      <x:c r="D1" s="5"/>
      <x:c r="E1" s="5"/>
      <x:c r="F1" s="5"/>
      <x:c r="G1" s="5"/>
      <x:c r="H1" s="5"/>
      <x:c r="I1" s="5"/>
      <x:c r="J1" s="5"/>
      <x:c r="K1" s="5"/>
      <x:c r="L1" s="5"/>
      <x:c r="M1" s="5"/>
      <x:c r="N1" s="5"/>
      <x:c r="O1" s="5"/>
      <x:c r="P1" s="5"/>
      <x:c r="Q1" s="5"/>
      <x:c r="R1" s="5"/>
      <x:c r="S1" s="5"/>
    </x:row>
    <x:row r="2" ht="21" customHeight="1">
      <x:c r="A2" s="13" t="str">
        <x:v>跨品牌场景条件与张力；不保存具体顾客、城市画像、家庭人物实体或泛生活故事模板</x:v>
      </x:c>
      <x:c r="B2" s="13"/>
      <x:c r="C2" s="13"/>
      <x:c r="D2" s="13"/>
      <x:c r="E2" s="13"/>
      <x:c r="F2" s="13"/>
      <x:c r="G2" s="13"/>
      <x:c r="H2" s="13"/>
      <x:c r="I2" s="13"/>
      <x:c r="J2" s="13"/>
      <x:c r="K2" s="13"/>
      <x:c r="L2" s="13"/>
      <x:c r="M2" s="13"/>
      <x:c r="N2" s="13"/>
      <x:c r="O2" s="13"/>
      <x:c r="P2" s="13"/>
      <x:c r="Q2" s="13"/>
      <x:c r="R2" s="13"/>
      <x:c r="S2" s="13"/>
    </x:row>
    <x:row r="4">
      <x:c r="A4" s="22" t="str">
        <x:v>ID</x:v>
      </x:c>
      <x:c r="B4" s="22" t="str">
        <x:v>需求</x:v>
      </x:c>
      <x:c r="C4" s="22" t="str">
        <x:v>主题</x:v>
      </x:c>
      <x:c r="D4" s="22" t="str">
        <x:v>标题</x:v>
      </x:c>
      <x:c r="E4" s="22" t="str">
        <x:v>硬度</x:v>
      </x:c>
      <x:c r="F4" s="22" t="str">
        <x:v>语义距离</x:v>
      </x:c>
      <x:c r="G4" s="22" t="str">
        <x:v>P1</x:v>
      </x:c>
      <x:c r="H4" s="22" t="str">
        <x:v>P2</x:v>
      </x:c>
      <x:c r="I4" s="22" t="str">
        <x:v>P3</x:v>
      </x:c>
      <x:c r="J4" s="22" t="str">
        <x:v>P4</x:v>
      </x:c>
      <x:c r="K4" s="22" t="str">
        <x:v>P5</x:v>
      </x:c>
      <x:c r="L4" s="22" t="str">
        <x:v>断言/创意方向</x:v>
      </x:c>
      <x:c r="M4" s="22" t="str">
        <x:v>何时使用/适用条件</x:v>
      </x:c>
      <x:c r="N4" s="22" t="str">
        <x:v>可能效果/变化轴</x:v>
      </x:c>
      <x:c r="O4" s="22" t="str">
        <x:v>代价/反套路</x:v>
      </x:c>
      <x:c r="P4" s="22" t="str">
        <x:v>不适用/禁止误用</x:v>
      </x:c>
      <x:c r="Q4" s="22" t="str">
        <x:v>依据</x:v>
      </x:c>
      <x:c r="R4" s="22" t="str">
        <x:v>验证夹具</x:v>
      </x:c>
      <x:c r="S4" s="22" t="str">
        <x:v>状态</x:v>
      </x:c>
    </x:row>
    <x:row r="5" ht="72" customHeight="1">
      <x:c r="A5" s="30" t="str">
        <x:v>C-COMMUTE-001</x:v>
      </x:c>
      <x:c r="B5" s="30" t="str">
        <x:v>C01</x:v>
      </x:c>
      <x:c r="C5" s="30" t="str">
        <x:v>multi_stage_commute</x:v>
      </x:c>
      <x:c r="D5" s="30" t="str">
        <x:v>通勤通常是多阶段任务，不是单一“上班场合”</x:v>
      </x:c>
      <x:c r="E5" s="30" t="str">
        <x:v>conditional_rule</x:v>
      </x:c>
      <x:c r="F5" s="30" t="str">
        <x:v>audience_life</x:v>
      </x:c>
      <x:c r="G5" s="30" t="str">
        <x:v>●</x:v>
      </x:c>
      <x:c r="H5" s="30" t="str"/>
      <x:c r="I5" s="30" t="str">
        <x:v>●</x:v>
      </x:c>
      <x:c r="J5" s="30" t="str">
        <x:v>●</x:v>
      </x:c>
      <x:c r="K5" s="30" t="str"/>
      <x:c r="L5" s="30" t="str">
        <x:v>一次通勤可能同时包含移动、到岗、久坐、会议、临时外出和下班后的第二任务；正式度、活动量、温差、收纳与切换成本需要共同判断。</x:v>
      </x:c>
      <x:c r="M5" s="30" t="str">
        <x:v>内容或选择任务涉及从出门到返程的连续一天，而非只看某个静态场合</x:v>
      </x:c>
      <x:c r="N5" s="30" t="str">
        <x:v>更容易发现哪一段任务代价最高，并形成有边界的选择、观察或关系回应</x:v>
      </x:c>
      <x:c r="O5" s="30" t="str">
        <x:v>为兼顾多阶段可能牺牲某一场景的极致正式、极致轻便或极致保暖</x:v>
      </x:c>
      <x:c r="P5" s="30" t="str">
        <x:v>用户只明确一个单一场景；或任务与穿着、生活切换无关；不得把“职业女性都忙、都需要万能通勤装”写成群体事实；不得替用户虚构会议、接娃或加班。</x:v>
      </x:c>
      <x:c r="Q5" s="30" t="str">
        <x:v>PRJ-MOTHER-V03; PRJ-ADR-014; EXP-C-SCENES-001</x:v>
      </x:c>
      <x:c r="R5" s="30" t="str">
        <x:v>CDF-V01</x:v>
      </x:c>
      <x:c r="S5" s="30" t="str">
        <x:v>review_candidate</x:v>
      </x:c>
    </x:row>
    <x:row r="6" ht="72" customHeight="1">
      <x:c r="A6" s="30" t="str">
        <x:v>C-COMMUTE-002</x:v>
      </x:c>
      <x:c r="B6" s="30" t="str">
        <x:v>C01</x:v>
      </x:c>
      <x:c r="C6" s="30" t="str">
        <x:v>commute_mode</x:v>
      </x:c>
      <x:c r="D6" s="30" t="str">
        <x:v>通勤方式会改变动作、暴露与携带要求</x:v>
      </x:c>
      <x:c r="E6" s="30" t="str">
        <x:v>conditional_rule</x:v>
      </x:c>
      <x:c r="F6" s="30" t="str">
        <x:v>audience_life</x:v>
      </x:c>
      <x:c r="G6" s="30" t="str">
        <x:v>●</x:v>
      </x:c>
      <x:c r="H6" s="30" t="str"/>
      <x:c r="I6" s="30" t="str"/>
      <x:c r="J6" s="30" t="str">
        <x:v>●</x:v>
      </x:c>
      <x:c r="K6" s="30" t="str"/>
      <x:c r="L6" s="30" t="str">
        <x:v>步行、骑行、公共交通、驾车或混合通勤，会改变抬腿、跨步、久坐、风雨暴露、拥挤、鞋包与随身物品的约束；交通方式本身不直接决定穿衣答案。</x:v>
      </x:c>
      <x:c r="M6" s="30" t="str">
        <x:v>交通方式会实质影响活动、天气暴露、收纳或进出空间</x:v>
      </x:c>
      <x:c r="N6" s="30" t="str">
        <x:v>可把“好不好穿”拆成动作、气候、携带与到达后状态等具体判断</x:v>
      </x:c>
      <x:c r="O6" s="30" t="str">
        <x:v>更适合移动的选择可能降低某些正式感、轮廓完整度或保暖性</x:v>
      </x:c>
      <x:c r="P6" s="30" t="str">
        <x:v>交通方式未知且不影响当前结论；或系统只能靠城市刻板印象猜测；不得把城市名自动映射为地铁、开车或骑行；不得声称某种通勤方式适合所有人。</x:v>
      </x:c>
      <x:c r="Q6" s="30" t="str">
        <x:v>PRJ-MOTHER-V03; EXP-C-SCENES-001</x:v>
      </x:c>
      <x:c r="R6" s="30" t="str">
        <x:v>CDF-V02</x:v>
      </x:c>
      <x:c r="S6" s="30" t="str">
        <x:v>review_candidate</x:v>
      </x:c>
    </x:row>
    <x:row r="7" ht="72" customHeight="1">
      <x:c r="A7" s="30" t="str">
        <x:v>C-COMMUTE-003</x:v>
      </x:c>
      <x:c r="B7" s="30" t="str">
        <x:v>C01</x:v>
      </x:c>
      <x:c r="C7" s="30" t="str">
        <x:v>role_switch_tension</x:v>
      </x:c>
      <x:c r="D7" s="30" t="str">
        <x:v>同一身穿着在一天中被不同角色重新读取</x:v>
      </x:c>
      <x:c r="E7" s="30" t="str">
        <x:v>creative_candidate</x:v>
      </x:c>
      <x:c r="F7" s="30" t="str">
        <x:v>audience_life</x:v>
      </x:c>
      <x:c r="G7" s="30" t="str"/>
      <x:c r="H7" s="30" t="str"/>
      <x:c r="I7" s="30" t="str">
        <x:v>●</x:v>
      </x:c>
      <x:c r="J7" s="30" t="str">
        <x:v>●</x:v>
      </x:c>
      <x:c r="K7" s="30" t="str"/>
      <x:c r="L7" s="30" t="str">
        <x:v>用同一穿着在不同时间、空间或关系中的变化，呈现账号怎样理解目标人群的一天</x:v>
      </x:c>
      <x:c r="M7" s="30" t="str"/>
      <x:c r="N7" s="30" t="str">
        <x:v>会议→接孩子；办公室→户外；工作→晚间社交；独处通勤→进入团队；准时到达→临时改变计划</x:v>
      </x:c>
      <x:c r="O7" s="30" t="str">
        <x:v>不得把忙碌、疲惫、接娃或加班默认写成所有职业女性的共同命运；不得强行升华为“女性要平衡一切”。</x:v>
      </x:c>
      <x:c r="P7" s="30" t="str">
        <x:v>不得把忙碌、疲惫、接娃或加班默认写成所有职业女性的共同命运；不得强行升华为“女性要平衡一切”。</x:v>
      </x:c>
      <x:c r="Q7" s="30" t="str">
        <x:v>PRJ-MOTHER-V03; EXP-C-SCENES-001</x:v>
      </x:c>
      <x:c r="R7" s="30" t="str">
        <x:v>CDF-V01</x:v>
      </x:c>
      <x:c r="S7" s="30" t="str">
        <x:v>review_candidate</x:v>
      </x:c>
    </x:row>
    <x:row r="8" ht="72" customHeight="1">
      <x:c r="A8" s="30" t="str">
        <x:v>C-CARE-001</x:v>
      </x:c>
      <x:c r="B8" s="30" t="str">
        <x:v>C02</x:v>
      </x:c>
      <x:c r="C8" s="30" t="str">
        <x:v>caregiving_mobility</x:v>
      </x:c>
      <x:c r="D8" s="30" t="str">
        <x:v>照护场景常同时要求行动便利、可清理性与公共体面</x:v>
      </x:c>
      <x:c r="E8" s="30" t="str">
        <x:v>conditional_rule</x:v>
      </x:c>
      <x:c r="F8" s="30" t="str">
        <x:v>audience_life</x:v>
      </x:c>
      <x:c r="G8" s="30" t="str">
        <x:v>●</x:v>
      </x:c>
      <x:c r="H8" s="30" t="str"/>
      <x:c r="I8" s="30" t="str">
        <x:v>●</x:v>
      </x:c>
      <x:c r="J8" s="30" t="str">
        <x:v>●</x:v>
      </x:c>
      <x:c r="K8" s="30" t="str"/>
      <x:c r="L8" s="30" t="str">
        <x:v>抱、蹲、弯腰、追赶、收拾和临时出门等照护动作，可能提高对活动范围、遮挡、耐受和快速整理的要求；具体优先级取决于实际照护任务，不由身份标签决定。</x:v>
      </x:c>
      <x:c r="M8" s="30" t="str">
        <x:v>任务明确涉及亲子、老人照护、陪护或频繁照料动作</x:v>
      </x:c>
      <x:c r="N8" s="30" t="str">
        <x:v>可把“既要舒服又要体面”转化为动作和场景可验证的选择或生活观察</x:v>
      </x:c>
      <x:c r="O8" s="30" t="str">
        <x:v>更耐用或更易活动的选择可能牺牲轻盈、精致度或某些轮廓效果</x:v>
      </x:c>
      <x:c r="P8" s="30" t="str">
        <x:v>没有实际照护动作；或只凭“妈妈/女儿/媳妇”等身份猜测生活；不得把照护责任默认归给女性；不得依据家庭身份推断体型、收入、审美或牺牲倾向。</x:v>
      </x:c>
      <x:c r="Q8" s="30" t="str">
        <x:v>PRJ-MOTHER-V03; PRJ-MEMORY; EXP-C-SCENES-001</x:v>
      </x:c>
      <x:c r="R8" s="30" t="str">
        <x:v>CDF-V03</x:v>
      </x:c>
      <x:c r="S8" s="30" t="str">
        <x:v>review_candidate</x:v>
      </x:c>
    </x:row>
    <x:row r="9" ht="72" customHeight="1">
      <x:c r="A9" s="30" t="str">
        <x:v>C-CARE-002</x:v>
      </x:c>
      <x:c r="B9" s="30" t="str">
        <x:v>C02</x:v>
      </x:c>
      <x:c r="C9" s="30" t="str">
        <x:v>intergenerational_priority</x:v>
      </x:c>
      <x:c r="D9" s="30" t="str">
        <x:v>代际穿衣分歧可以被理解为优先级差异，而不是谁更正确</x:v>
      </x:c>
      <x:c r="E9" s="30" t="str">
        <x:v>conditional_rule</x:v>
      </x:c>
      <x:c r="F9" s="30" t="str">
        <x:v>audience_life</x:v>
      </x:c>
      <x:c r="G9" s="30" t="str"/>
      <x:c r="H9" s="30" t="str"/>
      <x:c r="I9" s="30" t="str">
        <x:v>●</x:v>
      </x:c>
      <x:c r="J9" s="30" t="str">
        <x:v>●</x:v>
      </x:c>
      <x:c r="K9" s="30" t="str"/>
      <x:c r="L9" s="30" t="str">
        <x:v>家庭成员对耐穿、价格、舒适、好看、体面、自主表达和成长速度的重视不同，可能形成穿衣分歧；内容应先识别各自保护的价值，再决定是否需要专业判断。</x:v>
      </x:c>
      <x:c r="M9" s="30" t="str">
        <x:v>用户种子包含亲子、父母、公婆或伴侣之间的穿衣意见冲突</x:v>
      </x:c>
      <x:c r="N9" s="30" t="str">
        <x:v>能把冲突从人格对立转化为可理解的价值取舍，并形成具体的人格反应或关系回应</x:v>
      </x:c>
      <x:c r="O9" s="30" t="str">
        <x:v>承认各方优先级可能降低戏剧冲突强度，也可能保留无法一次解决的矛盾</x:v>
      </x:c>
      <x:c r="P9" s="30" t="str">
        <x:v>涉及伤害、控制或明确权利问题时不能只做审美调和；用户未提供关系时不得补造；不得把长辈写成保守、年轻人写成爱美，也不得用婆媳/亲子对立制造泛流量。</x:v>
      </x:c>
      <x:c r="Q9" s="30" t="str">
        <x:v>PRJ-MOTHER-V03; PRJ-ADR-014; EXP-C-SCENES-001</x:v>
      </x:c>
      <x:c r="R9" s="30" t="str">
        <x:v>CDF-V04</x:v>
      </x:c>
      <x:c r="S9" s="30" t="str">
        <x:v>review_candidate</x:v>
      </x:c>
    </x:row>
    <x:row r="10" ht="72" customHeight="1">
      <x:c r="A10" s="30" t="str">
        <x:v>C-CARE-003</x:v>
      </x:c>
      <x:c r="B10" s="30" t="str">
        <x:v>C02</x:v>
      </x:c>
      <x:c r="C10" s="30" t="str">
        <x:v>interruption_tension</x:v>
      </x:c>
      <x:c r="D10" s="30" t="str">
        <x:v>照护生活的真实张力常来自被打断和无法一次准备完整</x:v>
      </x:c>
      <x:c r="E10" s="30" t="str">
        <x:v>creative_candidate</x:v>
      </x:c>
      <x:c r="F10" s="30" t="str">
        <x:v>audience_life</x:v>
      </x:c>
      <x:c r="G10" s="30" t="str"/>
      <x:c r="H10" s="30" t="str"/>
      <x:c r="I10" s="30" t="str">
        <x:v>●</x:v>
      </x:c>
      <x:c r="J10" s="30" t="str">
        <x:v>●</x:v>
      </x:c>
      <x:c r="K10" s="30" t="str"/>
      <x:c r="L10" s="30" t="str">
        <x:v>保留生活中的未完成、反复和小狼狈，让账号对这些瞬间作出具体反应</x:v>
      </x:c>
      <x:c r="M10" s="30" t="str"/>
      <x:c r="N10" s="30" t="str">
        <x:v>出门前临时换计划；孩子坚持自己的选择；照护动作中断精心准备；家庭成员对体面标准不同；终于出门又折返</x:v>
      </x:c>
      <x:c r="O10" s="30" t="str">
        <x:v>不得把照护者写成牺牲型圣人，也不得默认孩子、老人或伴侣是制造麻烦的人。</x:v>
      </x:c>
      <x:c r="P10" s="30" t="str">
        <x:v>不得把照护者写成牺牲型圣人，也不得默认孩子、老人或伴侣是制造麻烦的人。</x:v>
      </x:c>
      <x:c r="Q10" s="30" t="str">
        <x:v>PRJ-MOTHER-V03; EXP-C-SCENES-001</x:v>
      </x:c>
      <x:c r="R10" s="30" t="str">
        <x:v>CDF-V03; CDF-V04</x:v>
      </x:c>
      <x:c r="S10" s="30" t="str">
        <x:v>review_candidate</x:v>
      </x:c>
    </x:row>
    <x:row r="11" ht="72" customHeight="1">
      <x:c r="A11" s="30" t="str">
        <x:v>C-TRAVEL-001</x:v>
      </x:c>
      <x:c r="B11" s="30" t="str">
        <x:v>C03</x:v>
      </x:c>
      <x:c r="C11" s="30" t="str">
        <x:v>packing_reuse</x:v>
      </x:c>
      <x:c r="D11" s="30" t="str">
        <x:v>旅行中的复用价值来自组合兼容和使用条件，不是“百搭”口号</x:v>
      </x:c>
      <x:c r="E11" s="30" t="str">
        <x:v>conditional_rule</x:v>
      </x:c>
      <x:c r="F11" s="30" t="str">
        <x:v>audience_life</x:v>
      </x:c>
      <x:c r="G11" s="30" t="str">
        <x:v>●</x:v>
      </x:c>
      <x:c r="H11" s="30" t="str"/>
      <x:c r="I11" s="30" t="str"/>
      <x:c r="J11" s="30" t="str"/>
      <x:c r="K11" s="30" t="str">
        <x:v>●</x:v>
      </x:c>
      <x:c r="L11" s="30" t="str">
        <x:v>行李受限时，一件单品的价值取决于它能否与已带单品形成足够组合，并适应温差、活动、护理和场合跨度；可复用不等于在所有场景都最佳。</x:v>
      </x:c>
      <x:c r="M11" s="30" t="str">
        <x:v>用户明确行李、件数、行程或重复穿着限制</x:v>
      </x:c>
      <x:c r="N11" s="30" t="str">
        <x:v>可形成围绕真实约束的选择判断或一条清楚的造型可能</x:v>
      </x:c>
      <x:c r="O11" s="30" t="str">
        <x:v>更高复用常以牺牲某一场景的专门性、视觉变化或极端天气性能为代价</x:v>
      </x:c>
      <x:c r="P11" s="30" t="str">
        <x:v>目的地、季节或活动完全未知且会改变结论；或系统只能用“旅行必备”模板；不得把“百搭”当作无条件优点；不得虚构目的地天气、行程、预算或洗衣条件。</x:v>
      </x:c>
      <x:c r="Q11" s="30" t="str">
        <x:v>PRJ-MOTHER-V03; EXP-C-SCENES-001</x:v>
      </x:c>
      <x:c r="R11" s="30" t="str">
        <x:v>CDF-V05</x:v>
      </x:c>
      <x:c r="S11" s="30" t="str">
        <x:v>review_candidate</x:v>
      </x:c>
    </x:row>
    <x:row r="12" ht="72" customHeight="1">
      <x:c r="A12" s="30" t="str">
        <x:v>C-TRAVEL-002</x:v>
      </x:c>
      <x:c r="B12" s="30" t="str">
        <x:v>C03</x:v>
      </x:c>
      <x:c r="C12" s="30" t="str">
        <x:v>mobility_load</x:v>
      </x:c>
      <x:c r="D12" s="30" t="str">
        <x:v>步行量与移动频率会改变舒适、摩擦、携带和恢复要求</x:v>
      </x:c>
      <x:c r="E12" s="30" t="str">
        <x:v>conditional_rule</x:v>
      </x:c>
      <x:c r="F12" s="30" t="str">
        <x:v>audience_life</x:v>
      </x:c>
      <x:c r="G12" s="30" t="str">
        <x:v>●</x:v>
      </x:c>
      <x:c r="H12" s="30" t="str"/>
      <x:c r="I12" s="30" t="str"/>
      <x:c r="J12" s="30" t="str"/>
      <x:c r="K12" s="30" t="str">
        <x:v>●</x:v>
      </x:c>
      <x:c r="L12" s="30" t="str">
        <x:v>长时间步行、频繁坐起、搬运行李和交通换乘，可能提高对动作自由、摩擦位置、口袋/包、鞋服配合和褶皱恢复的要求；静态好看不能替代移动中的表现。</x:v>
      </x:c>
      <x:c r="M12" s="30" t="str">
        <x:v>任务涉及高步行量、频繁换乘或长时间移动</x:v>
      </x:c>
      <x:c r="N12" s="30" t="str">
        <x:v>能把旅行穿衣从“拍照好看”扩展为移动过程中的实际体验与视觉变化</x:v>
      </x:c>
      <x:c r="O12" s="30" t="str">
        <x:v>更适合移动的组合可能减少体积感、装饰性或某些正式效果</x:v>
      </x:c>
      <x:c r="P12" s="30" t="str">
        <x:v>活动量只是推测；或没有任何商品/动作信息却承诺舒适；不得把“轻”“弹”自动等同全天舒适，也不得凭品类名保证耐磨、快干或防皱。</x:v>
      </x:c>
      <x:c r="Q12" s="30" t="str">
        <x:v>PRJ-MOTHER-V03; EXP-C-SCENES-001</x:v>
      </x:c>
      <x:c r="R12" s="30" t="str">
        <x:v>CDF-V05</x:v>
      </x:c>
      <x:c r="S12" s="30" t="str">
        <x:v>review_candidate</x:v>
      </x:c>
    </x:row>
    <x:row r="13" ht="72" customHeight="1">
      <x:c r="A13" s="30" t="str">
        <x:v>C-TRAVEL-003</x:v>
      </x:c>
      <x:c r="B13" s="30" t="str">
        <x:v>C03</x:v>
      </x:c>
      <x:c r="C13" s="30" t="str">
        <x:v>travel_uncertainty</x:v>
      </x:c>
      <x:c r="D13" s="30" t="str">
        <x:v>旅行内容可以围绕未知、重复与选择成本，而不是地标打卡</x:v>
      </x:c>
      <x:c r="E13" s="30" t="str">
        <x:v>creative_candidate</x:v>
      </x:c>
      <x:c r="F13" s="30" t="str">
        <x:v>audience_life</x:v>
      </x:c>
      <x:c r="G13" s="30" t="str"/>
      <x:c r="H13" s="30" t="str"/>
      <x:c r="I13" s="30" t="str">
        <x:v>●</x:v>
      </x:c>
      <x:c r="J13" s="30" t="str"/>
      <x:c r="K13" s="30" t="str">
        <x:v>●</x:v>
      </x:c>
      <x:c r="L13" s="30" t="str">
        <x:v>把旅行中的不确定、重复穿着和移动状态转成一条人格观察或视觉命题</x:v>
      </x:c>
      <x:c r="M13" s="30" t="str"/>
      <x:c r="N13" s="30" t="str">
        <x:v>出发前删掉一件；同一件衣服在不同空间被重新看见；到达后才发现真正需要的不是计划中的那件；行李越少越能看见组合关系</x:v>
      </x:c>
      <x:c r="O13" s="30" t="str">
        <x:v>不得把城市、民族、气候或游客行为写成刻板印象；不得用地标替代穿着关系和人格观察。</x:v>
      </x:c>
      <x:c r="P13" s="30" t="str">
        <x:v>不得把城市、民族、气候或游客行为写成刻板印象；不得用地标替代穿着关系和人格观察。</x:v>
      </x:c>
      <x:c r="Q13" s="30" t="str">
        <x:v>PRJ-MOTHER-V03; EXP-C-SCENES-001</x:v>
      </x:c>
      <x:c r="R13" s="30" t="str">
        <x:v>CDF-V05</x:v>
      </x:c>
      <x:c r="S13" s="30" t="str">
        <x:v>review_candidate</x:v>
      </x:c>
    </x:row>
    <x:row r="14" ht="72" customHeight="1">
      <x:c r="A14" s="30" t="str">
        <x:v>C-SOCIAL-001</x:v>
      </x:c>
      <x:c r="B14" s="30" t="str">
        <x:v>C04</x:v>
      </x:c>
      <x:c r="C14" s="30" t="str">
        <x:v>relationship_distance</x:v>
      </x:c>
      <x:c r="D14" s="30" t="str">
        <x:v>关系距离会改变正式度、自我暴露与表达幅度</x:v>
      </x:c>
      <x:c r="E14" s="30" t="str">
        <x:v>conditional_rule</x:v>
      </x:c>
      <x:c r="F14" s="30" t="str">
        <x:v>audience_life</x:v>
      </x:c>
      <x:c r="G14" s="30" t="str">
        <x:v>●</x:v>
      </x:c>
      <x:c r="H14" s="30" t="str"/>
      <x:c r="I14" s="30" t="str">
        <x:v>●</x:v>
      </x:c>
      <x:c r="J14" s="30" t="str">
        <x:v>●</x:v>
      </x:c>
      <x:c r="K14" s="30" t="str"/>
      <x:c r="L14" s="30" t="str">
        <x:v>面对陌生人、同事、熟人、亲密关系或重要关系时，受众对被看见、可靠、亲近、边界和自我表达的优先级可能不同；关系距离不是固定着装规范。</x:v>
      </x:c>
      <x:c r="M14" s="30" t="str">
        <x:v>场景的关系对象和互动目的会改变穿衣或表达判断</x:v>
      </x:c>
      <x:c r="N14" s="30" t="str">
        <x:v>可形成更具体的场合选择、人格反应或关系回应</x:v>
      </x:c>
      <x:c r="O14" s="30" t="str">
        <x:v>提高亲近感可能降低权威感；提高正式度可能增加距离或拘谨</x:v>
      </x:c>
      <x:c r="P14" s="30" t="str">
        <x:v>只知道“约会/社交”标签而不知道关系与目的；或品牌/账号无合法位置；不得把婚姻、性别、年龄或职位直接映射为固定审美；不得承诺某种穿法必然获得好感。</x:v>
      </x:c>
      <x:c r="Q14" s="30" t="str">
        <x:v>PRJ-MOTHER-V03; EXP-C-SCENES-001</x:v>
      </x:c>
      <x:c r="R14" s="30" t="str">
        <x:v>CDF-V06</x:v>
      </x:c>
      <x:c r="S14" s="30" t="str">
        <x:v>review_candidate</x:v>
      </x:c>
    </x:row>
    <x:row r="15" ht="72" customHeight="1">
      <x:c r="A15" s="30" t="str">
        <x:v>C-SOCIAL-002</x:v>
      </x:c>
      <x:c r="B15" s="30" t="str">
        <x:v>C04</x:v>
      </x:c>
      <x:c r="C15" s="30" t="str">
        <x:v>visible_not_overdone</x:v>
      </x:c>
      <x:c r="D15" s="30" t="str">
        <x:v>“希望被看见”与“怕显得太用力”可以同时成立</x:v>
      </x:c>
      <x:c r="E15" s="30" t="str">
        <x:v>conditional_rule</x:v>
      </x:c>
      <x:c r="F15" s="30" t="str">
        <x:v>audience_life</x:v>
      </x:c>
      <x:c r="G15" s="30" t="str">
        <x:v>●</x:v>
      </x:c>
      <x:c r="H15" s="30" t="str"/>
      <x:c r="I15" s="30" t="str">
        <x:v>●</x:v>
      </x:c>
      <x:c r="J15" s="30" t="str"/>
      <x:c r="K15" s="30" t="str">
        <x:v>●</x:v>
      </x:c>
      <x:c r="L15" s="30" t="str">
        <x:v>社交场景中，人可能既希望表达自己，又担心过度正式、过度性感、过度昂贵或抢夺注意；合适的结果取决于关系、场地、个人意愿和穿着动作。</x:v>
      </x:c>
      <x:c r="M15" s="30" t="str">
        <x:v>用户明确表达想被看见但不希望过度，或内容需要呈现克制与存在感的张力</x:v>
      </x:c>
      <x:c r="N15" s="30" t="str">
        <x:v>可形成有取舍的选择、人格观点或可见造型命题</x:v>
      </x:c>
      <x:c r="O15" s="30" t="str">
        <x:v>克制可能牺牲强记忆点；强调存在感可能提高被评判或不适配场合的风险</x:v>
      </x:c>
      <x:c r="P15" s="30" t="str">
        <x:v>用户目标只是完全隐身或明确要求高戏剧性；或系统用“高级”替代具体关系；不得把中性色、简约或贵价等同“不过度用力”；不得用身体羞辱解释存在感。</x:v>
      </x:c>
      <x:c r="Q15" s="30" t="str">
        <x:v>PRJ-MOTHER-V03; EXP-C-SCENES-001</x:v>
      </x:c>
      <x:c r="R15" s="30" t="str">
        <x:v>CDF-V06</x:v>
      </x:c>
      <x:c r="S15" s="30" t="str">
        <x:v>review_candidate</x:v>
      </x:c>
    </x:row>
    <x:row r="16" ht="72" customHeight="1">
      <x:c r="A16" s="30" t="str">
        <x:v>C-SOCIAL-003</x:v>
      </x:c>
      <x:c r="B16" s="30" t="str">
        <x:v>C04</x:v>
      </x:c>
      <x:c r="C16" s="30" t="str">
        <x:v>preparation_hesitation</x:v>
      </x:c>
      <x:c r="D16" s="30" t="str">
        <x:v>社交内容可从准备、犹豫和关系判断切入</x:v>
      </x:c>
      <x:c r="E16" s="30" t="str">
        <x:v>creative_candidate</x:v>
      </x:c>
      <x:c r="F16" s="30" t="str">
        <x:v>audience_life</x:v>
      </x:c>
      <x:c r="G16" s="30" t="str"/>
      <x:c r="H16" s="30" t="str"/>
      <x:c r="I16" s="30" t="str">
        <x:v>●</x:v>
      </x:c>
      <x:c r="J16" s="30" t="str">
        <x:v>●</x:v>
      </x:c>
      <x:c r="K16" s="30" t="str"/>
      <x:c r="L16" s="30" t="str">
        <x:v>让账号通过一个具体犹豫或准备动作展现对关系距离和自我表达的看法</x:v>
      </x:c>
      <x:c r="M16" s="30" t="str"/>
      <x:c r="N16" s="30" t="str">
        <x:v>换了又换回；准备得很完整却最后拿掉一件；不为别人改但为场地调整；想被看见又保留退路</x:v>
      </x:c>
      <x:c r="O16" s="30" t="str">
        <x:v>不得默认女性为取悦他人穿衣，或把所有犹豫解释为不自信。</x:v>
      </x:c>
      <x:c r="P16" s="30" t="str">
        <x:v>不得默认女性为取悦他人穿衣，或把所有犹豫解释为不自信。</x:v>
      </x:c>
      <x:c r="Q16" s="30" t="str">
        <x:v>PRJ-MOTHER-V03; EXP-C-SCENES-001</x:v>
      </x:c>
      <x:c r="R16" s="30" t="str">
        <x:v>CDF-V06</x:v>
      </x:c>
      <x:c r="S16" s="30" t="str">
        <x:v>review_candidate</x:v>
      </x:c>
    </x:row>
    <x:row r="17" ht="72" customHeight="1">
      <x:c r="A17" s="30" t="str">
        <x:v>C-HOME-001</x:v>
      </x:c>
      <x:c r="B17" s="30" t="str">
        <x:v>C05</x:v>
      </x:c>
      <x:c r="C17" s="30" t="str">
        <x:v>minimum_public_shift</x:v>
      </x:c>
      <x:c r="D17" s="30" t="str">
        <x:v>从居家到公共空间可以通过少量关键调整完成</x:v>
      </x:c>
      <x:c r="E17" s="30" t="str">
        <x:v>conditional_rule</x:v>
      </x:c>
      <x:c r="F17" s="30" t="str">
        <x:v>audience_life</x:v>
      </x:c>
      <x:c r="G17" s="30" t="str">
        <x:v>●</x:v>
      </x:c>
      <x:c r="H17" s="30" t="str"/>
      <x:c r="I17" s="30" t="str">
        <x:v>●</x:v>
      </x:c>
      <x:c r="J17" s="30" t="str"/>
      <x:c r="K17" s="30" t="str">
        <x:v>●</x:v>
      </x:c>
      <x:c r="L17" s="30" t="str">
        <x:v>当基础穿着已经满足舒适和覆盖时，外层、开合、鞋、包、腰线或表面整理等少量调整，可能改变公共空间中的完整度；具体动作取决于当前服装和出门任务。</x:v>
      </x:c>
      <x:c r="M17" s="30" t="str">
        <x:v>用户需要从居家状态快速进入短时公共场景</x:v>
      </x:c>
      <x:c r="N17" s="30" t="str">
        <x:v>可形成低成本选择方法、生活观察或可见的前后关系</x:v>
      </x:c>
      <x:c r="O17" s="30" t="str">
        <x:v>快速调整通常无法替代正式活动所需的完整准备</x:v>
      </x:c>
      <x:c r="P17" s="30" t="str">
        <x:v>用户要参加高正式度活动；或系统不知道当前穿着却给出具体动作；不得把“套件外套就能出门”写成普遍答案；不得把家居状态描述为邋遢或羞耻。</x:v>
      </x:c>
      <x:c r="Q17" s="30" t="str">
        <x:v>PRJ-MOTHER-V03; EXP-C-SCENES-001</x:v>
      </x:c>
      <x:c r="R17" s="30" t="str">
        <x:v>CDF-V07</x:v>
      </x:c>
      <x:c r="S17" s="30" t="str">
        <x:v>review_candidate</x:v>
      </x:c>
    </x:row>
    <x:row r="18" ht="72" customHeight="1">
      <x:c r="A18" s="30" t="str">
        <x:v>C-HOME-002</x:v>
      </x:c>
      <x:c r="B18" s="30" t="str">
        <x:v>C05</x:v>
      </x:c>
      <x:c r="C18" s="30" t="str">
        <x:v>comfort_neatness</x:v>
      </x:c>
      <x:c r="D18" s="30" t="str">
        <x:v>舒适与整洁不是天然对立，取决于结构、状态与组合</x:v>
      </x:c>
      <x:c r="E18" s="30" t="str">
        <x:v>conditional_rule</x:v>
      </x:c>
      <x:c r="F18" s="30" t="str">
        <x:v>audience_life</x:v>
      </x:c>
      <x:c r="G18" s="30" t="str">
        <x:v>●</x:v>
      </x:c>
      <x:c r="H18" s="30" t="str"/>
      <x:c r="I18" s="30" t="str">
        <x:v>●</x:v>
      </x:c>
      <x:c r="J18" s="30" t="str"/>
      <x:c r="K18" s="30" t="str">
        <x:v>●</x:v>
      </x:c>
      <x:c r="L18" s="30" t="str">
        <x:v>柔软、宽松或家居感并不必然显得不整洁；轮廓是否失控、表面是否起皱/粘附、边界是否清楚、组合是否连贯，都会改变公共观看结果。</x:v>
      </x:c>
      <x:c r="M18" s="30" t="str">
        <x:v>任务在舒适与公共体面之间寻找平衡</x:v>
      </x:c>
      <x:c r="N18" s="30" t="str">
        <x:v>能避免把舒适简单等同松垮，把整洁简单等同紧身和正式</x:v>
      </x:c>
      <x:c r="O18" s="30" t="str">
        <x:v>保持舒适可能减少某些锐利结构；提高整洁感可能增加整理和维护成本</x:v>
      </x:c>
      <x:c r="P18" s="30" t="str">
        <x:v>具体商品事实未知；或用户的舒适需求与健康/功能问题相关而不能泛化；不得写成“在家穿得舒服就是不讲究”；不得用单一版型或颜色保证整洁。</x:v>
      </x:c>
      <x:c r="Q18" s="30" t="str">
        <x:v>PRJ-MOTHER-V03; EXP-C-SCENES-001</x:v>
      </x:c>
      <x:c r="R18" s="30" t="str">
        <x:v>CDF-V07</x:v>
      </x:c>
      <x:c r="S18" s="30" t="str">
        <x:v>review_candidate</x:v>
      </x:c>
    </x:row>
    <x:row r="19" ht="72" customHeight="1">
      <x:c r="A19" s="30" t="str">
        <x:v>C-HOME-003</x:v>
      </x:c>
      <x:c r="B19" s="30" t="str">
        <x:v>C05</x:v>
      </x:c>
      <x:c r="C19" s="30" t="str">
        <x:v>unexpected_public_moment</x:v>
      </x:c>
      <x:c r="D19" s="30" t="str">
        <x:v>突发进入公共空间是可用的生活切换张力</x:v>
      </x:c>
      <x:c r="E19" s="30" t="str">
        <x:v>creative_candidate</x:v>
      </x:c>
      <x:c r="F19" s="30" t="str">
        <x:v>audience_life</x:v>
      </x:c>
      <x:c r="G19" s="30" t="str"/>
      <x:c r="H19" s="30" t="str"/>
      <x:c r="I19" s="30" t="str">
        <x:v>●</x:v>
      </x:c>
      <x:c r="J19" s="30" t="str">
        <x:v>●</x:v>
      </x:c>
      <x:c r="K19" s="30" t="str"/>
      <x:c r="L19" s="30" t="str">
        <x:v>从一次小规模切换观察账号怎样处理体面、边界和自我要求</x:v>
      </x:c>
      <x:c r="M19" s="30" t="str"/>
      <x:c r="N19" s="30" t="str">
        <x:v>临时视频打开摄像头；门口短暂见人；从家务切到工作；本来只下楼五分钟却遇见熟人</x:v>
      </x:c>
      <x:c r="O19" s="30" t="str">
        <x:v>不得把普通生活包装成羞耻焦虑，也不得默认受众必须随时保持精致。</x:v>
      </x:c>
      <x:c r="P19" s="30" t="str">
        <x:v>不得把普通生活包装成羞耻焦虑，也不得默认受众必须随时保持精致。</x:v>
      </x:c>
      <x:c r="Q19" s="30" t="str">
        <x:v>PRJ-MOTHER-V03; EXP-C-SCENES-001</x:v>
      </x:c>
      <x:c r="R19" s="30" t="str">
        <x:v>CDF-V07</x:v>
      </x:c>
      <x:c r="S19" s="30" t="str">
        <x:v>review_candidate</x:v>
      </x:c>
    </x:row>
    <x:row r="20" ht="72" customHeight="1">
      <x:c r="A20" s="30" t="str">
        <x:v>C-LOCAL-001</x:v>
      </x:c>
      <x:c r="B20" s="30" t="str">
        <x:v>C06</x:v>
      </x:c>
      <x:c r="C20" s="30" t="str">
        <x:v>local_context_load</x:v>
      </x:c>
      <x:c r="D20" s="30" t="str">
        <x:v>地域信息只有在改变处境、判断、行动或关系时才是承重上下文</x:v>
      </x:c>
      <x:c r="E20" s="30" t="str">
        <x:v>conditional_rule</x:v>
      </x:c>
      <x:c r="F20" s="30" t="str">
        <x:v>audience_life</x:v>
      </x:c>
      <x:c r="G20" s="30" t="str">
        <x:v>●</x:v>
      </x:c>
      <x:c r="H20" s="30" t="str"/>
      <x:c r="I20" s="30" t="str"/>
      <x:c r="J20" s="30" t="str">
        <x:v>●</x:v>
      </x:c>
      <x:c r="K20" s="30" t="str"/>
      <x:c r="L20" s="30" t="str">
        <x:v>气候、通勤结构、空间尺度、生活节奏、公共事件或服务半径，只有实质改变穿着问题、账号回应或受众关系时，才构成 P4 的在地价值；城市名、方言和地标本身不够。</x:v>
      </x:c>
      <x:c r="M20" s="30" t="str">
        <x:v>内容明确依赖地域生活差异，或需要判断 P4 与其他产品的路由</x:v>
      </x:c>
      <x:c r="N20" s="30" t="str">
        <x:v>能形成真正不同的在地判断、关系姿态或行动，而不是总部稿换地名</x:v>
      </x:c>
      <x:c r="O20" s="30" t="str">
        <x:v>过度强调地域可能缩窄全国受众或制造不必要差异</x:v>
      </x:c>
      <x:c r="P20" s="30" t="str">
        <x:v>地域信息只是装饰；搜索结果低质、过期、冲突或不能改变结论；不得把行政级别、南北方或城市标签直接推断为当地人的审美、收入、性格或路线。</x:v>
      </x:c>
      <x:c r="Q20" s="30" t="str">
        <x:v>PRJ-MOTHER-V03; PRJ-ADR-014; EXP-C-SCENES-001</x:v>
      </x:c>
      <x:c r="R20" s="30" t="str">
        <x:v>CDF-V08; CDF-V18</x:v>
      </x:c>
      <x:c r="S20" s="30" t="str">
        <x:v>review_candidate</x:v>
      </x:c>
    </x:row>
    <x:row r="21" ht="72" customHeight="1">
      <x:c r="A21" s="30" t="str">
        <x:v>C-LOCAL-002</x:v>
      </x:c>
      <x:c r="B21" s="30" t="str">
        <x:v>C06</x:v>
      </x:c>
      <x:c r="C21" s="30" t="str">
        <x:v>relationship_return</x:v>
      </x:c>
      <x:c r="D21" s="30" t="str">
        <x:v>门店与本地关系内容必须给受众具体关系回报</x:v>
      </x:c>
      <x:c r="E21" s="30" t="str">
        <x:v>conditional_rule</x:v>
      </x:c>
      <x:c r="F21" s="30" t="str">
        <x:v>audience_life</x:v>
      </x:c>
      <x:c r="G21" s="30" t="str"/>
      <x:c r="H21" s="30" t="str"/>
      <x:c r="I21" s="30" t="str"/>
      <x:c r="J21" s="30" t="str">
        <x:v>●</x:v>
      </x:c>
      <x:c r="K21" s="30" t="str"/>
      <x:c r="L21" s="30" t="str">
        <x:v>P4 的关系回报可以是更准确的理解、可执行帮助、服务边界、熟悉感、信任或继续互动的理由；“我们懂你”“欢迎到店”本身不构成关系价值。</x:v>
      </x:c>
      <x:c r="M21" s="30" t="str">
        <x:v>任务主要目标是让品牌或账号进入当地人的日常并推进关系</x:v>
      </x:c>
      <x:c r="N21" s="30" t="str">
        <x:v>受众即使暂时不到店，也能带走一项理解、许可、服务边界或熟悉感</x:v>
      </x:c>
      <x:c r="O21" s="30" t="str">
        <x:v>明确服务边界可能降低强促销感，但提高真实可持续性</x:v>
      </x:c>
      <x:c r="P21" s="30" t="str">
        <x:v>任务主要是帮助选择、解释商品、建立人格或创造视觉欲望，应路由其他产品；不得把 CTA、优惠或地址当作关系回报；不得编造实际服务能力、顾客经历或门店状态。</x:v>
      </x:c>
      <x:c r="Q21" s="30" t="str">
        <x:v>PRJ-MOTHER-V03; PRJ-ADR-013; EXP-C-SCENES-001</x:v>
      </x:c>
      <x:c r="R21" s="30" t="str">
        <x:v>CDF-V18; CDF-V24</x:v>
      </x:c>
      <x:c r="S21" s="30" t="str">
        <x:v>review_candidate</x:v>
      </x:c>
    </x:row>
    <x:row r="22" ht="72" customHeight="1">
      <x:c r="A22" s="30" t="str">
        <x:v>C-LOCAL-003</x:v>
      </x:c>
      <x:c r="B22" s="30" t="str">
        <x:v>C06</x:v>
      </x:c>
      <x:c r="C22" s="30" t="str">
        <x:v>public_signal_boundary</x:v>
      </x:c>
      <x:c r="D22" s="30" t="str">
        <x:v>公开本地信号是当次背景，不是顾客或门店事实</x:v>
      </x:c>
      <x:c r="E22" s="30" t="str">
        <x:v>conditional_rule</x:v>
      </x:c>
      <x:c r="F22" s="30" t="str">
        <x:v>audience_life</x:v>
      </x:c>
      <x:c r="G22" s="30" t="str"/>
      <x:c r="H22" s="30" t="str"/>
      <x:c r="I22" s="30" t="str"/>
      <x:c r="J22" s="30" t="str">
        <x:v>●</x:v>
      </x:c>
      <x:c r="K22" s="30" t="str"/>
      <x:c r="L22" s="30" t="str">
        <x:v>公开搜索到的天气、活动、交通或讨论热度可以帮助发现当次在地背景，但不能据此推断门店现货、营业、顾客构成、真实服务事件或稳定地区人格。</x:v>
      </x:c>
      <x:c r="M22" s="30" t="str">
        <x:v>系统按需使用公开搜索或用户提供的公共信号辅助 P4</x:v>
      </x:c>
      <x:c r="N22" s="30" t="str">
        <x:v>可补足当次背景并帮助形成更具体的关系命题</x:v>
      </x:c>
      <x:c r="O22" s="30" t="str">
        <x:v>省略不可靠信号可能降低时效感，但优于编造现实断言</x:v>
      </x:c>
      <x:c r="P22" s="30" t="str">
        <x:v>信号来源、地域范围或检索时间不可用；或内容不需要该信号；不得把搜索排名、网络热词或公共活动自动升级为长期知识、顾客画像、门店事实或经营真值。</x:v>
      </x:c>
      <x:c r="Q22" s="30" t="str">
        <x:v>PRJ-MOTHER-V03; PRJ-ADR-014; PRJ-ADR-006</x:v>
      </x:c>
      <x:c r="R22" s="30" t="str">
        <x:v>CDF-V18; CDF-V24</x:v>
      </x:c>
      <x:c r="S22" s="30" t="str">
        <x:v>review_candidate</x:v>
      </x:c>
    </x:row>
    <x:row r="23" ht="72" customHeight="1">
      <x:c r="A23" s="30" t="str">
        <x:v>C-LOCAL-004</x:v>
      </x:c>
      <x:c r="B23" s="30" t="str">
        <x:v>C06</x:v>
      </x:c>
      <x:c r="C23" s="30" t="str">
        <x:v>local_translation</x:v>
      </x:c>
      <x:c r="D23" s="30" t="str">
        <x:v>总部母题的在地重释应从当地生活差异出发</x:v>
      </x:c>
      <x:c r="E23" s="30" t="str">
        <x:v>creative_candidate</x:v>
      </x:c>
      <x:c r="F23" s="30" t="str">
        <x:v>audience_life</x:v>
      </x:c>
      <x:c r="G23" s="30" t="str"/>
      <x:c r="H23" s="30" t="str"/>
      <x:c r="I23" s="30" t="str">
        <x:v>●</x:v>
      </x:c>
      <x:c r="J23" s="30" t="str">
        <x:v>●</x:v>
      </x:c>
      <x:c r="K23" s="30" t="str"/>
      <x:c r="L23" s="30" t="str">
        <x:v>让同一品牌核心在不同地域的具体生活中产生新的问题、动作和关系姿态</x:v>
      </x:c>
      <x:c r="M23" s="30" t="str"/>
      <x:c r="N23" s="30" t="str">
        <x:v>室外/室内温差；步行与驾车差异；城市空间大小；作息与商圈节奏；本地门店可提供的真实服务</x:v>
      </x:c>
      <x:c r="O23" s="30" t="str">
        <x:v>不得只换城市名、地标、方言或片尾地址；不得虚构当地人群爱好和生活路线。</x:v>
      </x:c>
      <x:c r="P23" s="30" t="str">
        <x:v>不得只换城市名、地标、方言或片尾地址；不得虚构当地人群爱好和生活路线。</x:v>
      </x:c>
      <x:c r="Q23" s="30" t="str">
        <x:v>PRJ-STRATEGY-V1; PRJ-MOTHER-V03; EXP-C-SCENES-001</x:v>
      </x:c>
      <x:c r="R23" s="30" t="str">
        <x:v>CDF-V08; CDF-V18</x:v>
      </x:c>
      <x:c r="S23" s="30" t="str">
        <x:v>review_candidate</x:v>
      </x:c>
    </x:row>
  </x:sheetData>
  <x:mergeCells>
    <x:mergeCell ref="A1:S1"/>
    <x:mergeCell ref="A2:S2"/>
  </x:mergeCells>
  <x:conditionalFormatting sqref="E5:E23">
    <x:cfRule type="expression" dxfId="0" priority="1">
      <x:formula>E5="conditional_rule"</x:formula>
    </x:cfRule>
    <x:cfRule type="expression" dxfId="1" priority="2">
      <x:formula>E5="creative_candidate"</x:formula>
    </x:cfRule>
  </x:conditionalFormatting>
  <x:conditionalFormatting sqref="S5:S23">
    <x:cfRule type="expression" dxfId="2" priority="3">
      <x:formula>S5="review_candidate"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8" hidden="0" customWidth="1"/>
    <x:col min="3" max="3" width="20" hidden="0" customWidth="1"/>
    <x:col min="4" max="4" width="28" hidden="0" customWidth="1"/>
    <x:col min="5" max="5" width="16" hidden="0" customWidth="1"/>
    <x:col min="6" max="6" width="36" hidden="0" customWidth="1"/>
    <x:col min="7" max="7" width="36" hidden="0" customWidth="1"/>
    <x:col min="8" max="8" width="32" hidden="0" customWidth="1"/>
    <x:col min="9" max="9" width="48" hidden="0" customWidth="1"/>
    <x:col min="10" max="10" width="36" hidden="0" customWidth="1"/>
    <x:col min="11" max="11" width="42" hidden="0" customWidth="1"/>
    <x:col min="12" max="12" width="34" hidden="0" customWidth="1"/>
    <x:col min="13" max="13" width="18" hidden="0" customWidth="1"/>
  </x:cols>
  <x:sheetData>
    <x:row r="1" ht="28" customHeight="1">
      <x:c r="A1" s="5" t="str">
        <x:v>D 创作与叙事方法卡目录</x:v>
      </x:c>
      <x:c r="B1" s="5"/>
      <x:c r="C1" s="5"/>
      <x:c r="D1" s="5"/>
      <x:c r="E1" s="5"/>
      <x:c r="F1" s="5"/>
      <x:c r="G1" s="5"/>
      <x:c r="H1" s="5"/>
      <x:c r="I1" s="5"/>
      <x:c r="J1" s="5"/>
      <x:c r="K1" s="5"/>
      <x:c r="L1" s="5"/>
      <x:c r="M1" s="5"/>
    </x:row>
    <x:row r="2" ht="21" customHeight="1">
      <x:c r="A2" s="13" t="str">
        <x:v>方法回答何时使用、怎样转换和如何失败；不保存整篇模板、固定结构、禁词表或平台规格</x:v>
      </x:c>
      <x:c r="B2" s="13"/>
      <x:c r="C2" s="13"/>
      <x:c r="D2" s="13"/>
      <x:c r="E2" s="13"/>
      <x:c r="F2" s="13"/>
      <x:c r="G2" s="13"/>
      <x:c r="H2" s="13"/>
      <x:c r="I2" s="13"/>
      <x:c r="J2" s="13"/>
      <x:c r="K2" s="13"/>
      <x:c r="L2" s="13"/>
      <x:c r="M2" s="13"/>
    </x:row>
    <x:row r="4">
      <x:c r="A4" s="22" t="str">
        <x:v>ID</x:v>
      </x:c>
      <x:c r="B4" s="22" t="str">
        <x:v>需求</x:v>
      </x:c>
      <x:c r="C4" s="22" t="str">
        <x:v>主题</x:v>
      </x:c>
      <x:c r="D4" s="22" t="str">
        <x:v>方法名</x:v>
      </x:c>
      <x:c r="E4" s="22" t="str">
        <x:v>支撑产品</x:v>
      </x:c>
      <x:c r="F4" s="22" t="str">
        <x:v>适合使用</x:v>
      </x:c>
      <x:c r="G4" s="22" t="str">
        <x:v>避免使用</x:v>
      </x:c>
      <x:c r="H4" s="22" t="str">
        <x:v>最低输入</x:v>
      </x:c>
      <x:c r="I4" s="22" t="str">
        <x:v>编译步骤</x:v>
      </x:c>
      <x:c r="J4" s="22" t="str">
        <x:v>成功信号</x:v>
      </x:c>
      <x:c r="K4" s="22" t="str">
        <x:v>失败模式</x:v>
      </x:c>
      <x:c r="L4" s="22" t="str">
        <x:v>依据/夹具</x:v>
      </x:c>
      <x:c r="M4" s="22" t="str">
        <x:v>状态</x:v>
      </x:c>
    </x:row>
    <x:row r="5" ht="86" customHeight="1">
      <x:c r="A5" s="30" t="str">
        <x:v>D-DIRECT-001</x:v>
      </x:c>
      <x:c r="B5" s="30" t="str">
        <x:v>D01</x:v>
      </x:c>
      <x:c r="C5" s="30" t="str">
        <x:v>direct_answer</x:v>
      </x:c>
      <x:c r="D5" s="30" t="str">
        <x:v>先给可执行结论，再补决定条件</x:v>
      </x:c>
      <x:c r="E5" s="30" t="str">
        <x:v>P1,P2,P4</x:v>
      </x:c>
      <x:c r="F5" s="30" t="str">
        <x:v>问题清楚，且主要答案可以在当前条件下直接形成；受众最需要先知道“优先怎样做/怎样看”</x:v>
      </x:c>
      <x:c r="G5" s="30" t="str">
        <x:v>缺失信息会改变主要答案；任务需要先澄清应用或主要产品；存在权限或不可替代硬事实缺口</x:v>
      </x:c>
      <x:c r="H5" s="30" t="str">
        <x:v>当前问题或认知任务；决定答案的关键条件；至少一个不适用边界</x:v>
      </x:c>
      <x:c r="I5" s="30" t="str">
        <x:v>用一句话给出当前最优结论 → 紧接着说明决定结论的1—3个关键条件 → 补充改变结论的情形或反选边界 → 给出最短下一步验证或行动</x:v>
      </x:c>
      <x:c r="J5" s="30" t="str">
        <x:v>受众在首个主要信息段即可复述结论；“取决于什么”与“何时改变”都清楚；没有为了像内容而强加故事</x:v>
      </x:c>
      <x:c r="K5" s="30" t="str">
        <x:v>长篇铺垫后才回答；只说“因人而异”而不给判断；固定三段式套在所有任务上；结论与下一步脱节</x:v>
      </x:c>
      <x:c r="L5" s="30" t="str">
        <x:v>依据: PRJ-ADR-014; PRJ-MOTHER-V03; EXP-D-METHODS-001
夹具: CDF-V09</x:v>
      </x:c>
      <x:c r="M5" s="30" t="str">
        <x:v>review_candidate</x:v>
      </x:c>
    </x:row>
    <x:row r="6" ht="86" customHeight="1">
      <x:c r="A6" s="30" t="str">
        <x:v>D-DIRECT-002</x:v>
      </x:c>
      <x:c r="B6" s="30" t="str">
        <x:v>D01</x:v>
      </x:c>
      <x:c r="C6" s="30" t="str">
        <x:v>actionable_next_step</x:v>
      </x:c>
      <x:c r="D6" s="30" t="str">
        <x:v>把专业结论转成用户能执行的一个动作</x:v>
      </x:c>
      <x:c r="E6" s="30" t="str">
        <x:v>P1,P2,P4</x:v>
      </x:c>
      <x:c r="F6" s="30" t="str">
        <x:v>受众知道原因仍不知道下一步怎样选、试、看或回应；任务可以通过一个低成本动作验证</x:v>
      </x:c>
      <x:c r="G6" s="30" t="str">
        <x:v>动作需要系统未具备的交易、实时库存或外部执行能力；行动会造成不可逆结果却缺少必要信息</x:v>
      </x:c>
      <x:c r="H6" s="30" t="str">
        <x:v>已形成的结论；当前可用资源与能力；能够验证或推进结论的动作</x:v>
      </x:c>
      <x:c r="I6" s="30" t="str">
        <x:v>选择一个最小动作：试穿、对比、观察、询问、到店确认或删去一项主张 → 说明动作要观察什么 → 说明出现什么结果时应改变原判断</x:v>
      </x:c>
      <x:c r="J6" s="30" t="str">
        <x:v>行动与结论直接相连；不需要用户补填内部字段；不把咨询/到店写成隐性强促销</x:v>
      </x:c>
      <x:c r="K6" s="30" t="str">
        <x:v>泛泛写“可以试试看”；CTA与正文无关；暗示系统已有库存/预约/交易能力；一次给出过多操作清单</x:v>
      </x:c>
      <x:c r="L6" s="30" t="str">
        <x:v>依据: PRJ-ADR-014; PRJ-ADR-006; EXP-D-METHODS-001
夹具: CDF-V10</x:v>
      </x:c>
      <x:c r="M6" s="30" t="str">
        <x:v>review_candidate</x:v>
      </x:c>
    </x:row>
    <x:row r="7" ht="86" customHeight="1">
      <x:c r="A7" s="30" t="str">
        <x:v>D-EXPLAIN-001</x:v>
      </x:c>
      <x:c r="B7" s="30" t="str">
        <x:v>D02</x:v>
      </x:c>
      <x:c r="C7" s="30" t="str">
        <x:v>conditional_explanation</x:v>
      </x:c>
      <x:c r="D7" s="30" t="str">
        <x:v>条件—效果—原因—代价—不适用的专业解释</x:v>
      </x:c>
      <x:c r="E7" s="30" t="str">
        <x:v>P1,P2,P3,P4,P5</x:v>
      </x:c>
      <x:c r="F7" s="30" t="str">
        <x:v>需要把条件性专业规律转成普通受众可理解的内容；只给结论会造成绝对化或误解</x:v>
      </x:c>
      <x:c r="G7" s="30" t="str">
        <x:v>没有任何适用条件或真实锚点；任务只是情绪/视觉表达，专业解释会抢走主要价值</x:v>
      </x:c>
      <x:c r="H7" s="30" t="str">
        <x:v>当前专业规律；适用条件；可能效果；原因；代价或限制；不适用情形</x:v>
      </x:c>
      <x:c r="I7" s="30" t="str">
        <x:v>先用人话指出在什么条件下可能发生 → 解释受众能感知的效果 → 只保留支撑理解的原因 → 主动承认代价、反例或改变条件 → 把解释嵌入当前成品主线而非单独上课</x:v>
      </x:c>
      <x:c r="J7" s="30" t="str">
        <x:v>条件没有丢失；受众能理解为什么不是人人都适用；专业信息推进主要产品价值而非术语堆砌</x:v>
      </x:c>
      <x:c r="K7" s="30" t="str">
        <x:v>把可能写成一定；只讲收益不讲代价；用专业词替代解释；每篇都形成课堂五段式</x:v>
      </x:c>
      <x:c r="L7" s="30" t="str">
        <x:v>依据: PRJ-ADR-014; PRJ-MOTHER-V03; EXP-D-METHODS-001
夹具: CDF-V11</x:v>
      </x:c>
      <x:c r="M7" s="30" t="str">
        <x:v>review_candidate</x:v>
      </x:c>
    </x:row>
    <x:row r="8" ht="86" customHeight="1">
      <x:c r="A8" s="30" t="str">
        <x:v>D-EXPLAIN-002</x:v>
      </x:c>
      <x:c r="B8" s="30" t="str">
        <x:v>D02</x:v>
      </x:c>
      <x:c r="C8" s="30" t="str">
        <x:v>official_vs_inference</x:v>
      </x:c>
      <x:c r="D8" s="30" t="str">
        <x:v>品牌确认理由与系统专业解释分层</x:v>
      </x:c>
      <x:c r="E8" s="30" t="str">
        <x:v>P2,P1,P5</x:v>
      </x:c>
      <x:c r="F8" s="30" t="str">
        <x:v>商品资料可能包含品牌确认的设计/开发理由；资料没有官方理由，但商品特征允许条件性专业解释</x:v>
      </x:c>
      <x:c r="G8" s="30" t="str">
        <x:v>系统只凭通用知识就想替品牌说“我们为什么这样设计”；解释需要未知测试、成本、研发或销量事实</x:v>
      </x:c>
      <x:c r="H8" s="30" t="str">
        <x:v>当前商品事实；是否存在品牌确认理由；可用的条件性专业知识</x:v>
      </x:c>
      <x:c r="I8" s="30" t="str">
        <x:v>有确认理由时，以明确归属的品牌口径使用并保持原意 → 没有确认理由时改用“这种结构通常可能……”的专业解释 → 把解释限制在已知商品特征和适用条件内 → 删除任何会被理解为品牌内部动机的无依据句子</x:v>
      </x:c>
      <x:c r="J8" s="30" t="str">
        <x:v>受众能区分品牌事实与系统解释；没有理由时内容仍有价值而不缩成资料朗读；换商品后解释会实质变化</x:v>
      </x:c>
      <x:c r="K8" s="30" t="str">
        <x:v>编造设计师原意；把条件性规律写成品牌承诺；为了避免风险只复述参数；在成品中展示审计标签</x:v>
      </x:c>
      <x:c r="L8" s="30" t="str">
        <x:v>依据: PRJ-ADR-014; PRJ-MOTHER-V03; EXP-D-METHODS-001
夹具: CDF-V12</x:v>
      </x:c>
      <x:c r="M8" s="30" t="str">
        <x:v>review_candidate</x:v>
      </x:c>
    </x:row>
    <x:row r="9" ht="86" customHeight="1">
      <x:c r="A9" s="30" t="str">
        <x:v>D-REVERSAL-001</x:v>
      </x:c>
      <x:c r="B9" s="30" t="str">
        <x:v>D03</x:v>
      </x:c>
      <x:c r="C9" s="30" t="str">
        <x:v>cognitive_reversal</x:v>
      </x:c>
      <x:c r="D9" s="30" t="str">
        <x:v>用真实变化修正一个旧判断</x:v>
      </x:c>
      <x:c r="E9" s="30" t="str">
        <x:v>P1,P2,P3</x:v>
      </x:c>
      <x:c r="F9" s="30" t="str">
        <x:v>受众或人物存在明确旧判断；当前商品、事件或观察提供了真实且可解释的变化</x:v>
      </x:c>
      <x:c r="G9" s="30" t="str">
        <x:v>只有标题需要刺激但没有实际变化；反转必须靠新增虚构结果或夸张承诺成立</x:v>
      </x:c>
      <x:c r="H9" s="30" t="str">
        <x:v>旧判断；具体变化或反例；新的可成立理解；不能被改变的承重事实</x:v>
      </x:c>
      <x:c r="I9" s="30" t="str">
        <x:v>简洁呈现旧判断及其合理来源 → 给出真正发生或可观察的变化 → 用专业解释或人格反应说明为什么需要修正 → 保留仍然成立的边界，而不是把旧判断完全妖魔化</x:v>
      </x:c>
      <x:c r="J9" s="30" t="str">
        <x:v>反转来自内容本身而非标题；受众能复述旧判断为何需要修正；没有新增交易、身份或商品事实</x:v>
      </x:c>
      <x:c r="K9" s="30" t="str">
        <x:v>假反转；把普通结果夸成奇迹；用“原来不是X而是Y”机械套句；末尾变成万能人生金句</x:v>
      </x:c>
      <x:c r="L9" s="30" t="str">
        <x:v>依据: PRJ-MOTHER-V03; PRJ-ADR-014; EXP-D-METHODS-001
夹具: CDF-V13</x:v>
      </x:c>
      <x:c r="M9" s="30" t="str">
        <x:v>review_candidate</x:v>
      </x:c>
    </x:row>
    <x:row r="10" ht="86" customHeight="1">
      <x:c r="A10" s="30" t="str">
        <x:v>D-REVERSAL-002</x:v>
      </x:c>
      <x:c r="B10" s="30" t="str">
        <x:v>D03</x:v>
      </x:c>
      <x:c r="C10" s="30" t="str">
        <x:v>observable_reversal</x:v>
      </x:c>
      <x:c r="D10" s="30" t="str">
        <x:v>让动作、对比或画面承担认知变化</x:v>
      </x:c>
      <x:c r="E10" s="30" t="str">
        <x:v>P1,P2,P5</x:v>
      </x:c>
      <x:c r="F10" s="30" t="str">
        <x:v>核心新理解可以通过穿着动作、前后对比、商品细节或视觉关系被看见；仅口头解释会削弱说服力</x:v>
      </x:c>
      <x:c r="G10" s="30" t="str">
        <x:v>没有真实商品或可观察差异；对比需要伪造穿着结果、身体变化或交易反馈</x:v>
      </x:c>
      <x:c r="H10" s="30" t="str">
        <x:v>要修正的旧判断；可观察变量；保持不变的对照条件；当前制作条件</x:v>
      </x:c>
      <x:c r="I10" s="30" t="str">
        <x:v>确定一个承重可见变量 → 尽量保持其他条件一致 → 让画面/动作先呈现差异 → 文字只解释已经被看见的变化 → 若无法拍摄则改为概念方案并诚实标记</x:v>
      </x:c>
      <x:c r="J10" s="30" t="str">
        <x:v>移除承重视觉后主要价值明显下降；对比变量清楚；不会把拍摄设计冒充实际结果</x:v>
      </x:c>
      <x:c r="K10" s="30" t="str">
        <x:v>只靠字幕说发生了变化；前后场景条件完全不同；用滤镜/角度伪造效果；把当前黄金拍法固化为模板</x:v>
      </x:c>
      <x:c r="L10" s="30" t="str">
        <x:v>依据: PRJ-P5-CLOSE-20260721; PRJ-MOTHER-V03; EXP-D-METHODS-001
夹具: CDF-V14</x:v>
      </x:c>
      <x:c r="M10" s="30" t="str">
        <x:v>review_candidate</x:v>
      </x:c>
    </x:row>
    <x:row r="11" ht="86" customHeight="1">
      <x:c r="A11" s="30" t="str">
        <x:v>D-PERSONA-001</x:v>
      </x:c>
      <x:c r="B11" s="30" t="str">
        <x:v>D04</x:v>
      </x:c>
      <x:c r="C11" s="30" t="str">
        <x:v>persona_reaction</x:v>
      </x:c>
      <x:c r="D11" s="30" t="str">
        <x:v>从弱生活种子提取一条人格反应主线</x:v>
      </x:c>
      <x:c r="E11" s="30" t="str">
        <x:v>P3,P4</x:v>
      </x:c>
      <x:c r="F11" s="30" t="str">
        <x:v>用户只给一句生活、工作、家庭或情绪种子；种子中存在可被账号注意、判断或对待的一项具体反应</x:v>
      </x:c>
      <x:c r="G11" s="30" t="str">
        <x:v>找不到自然品牌/账号关系；需要编造账号履历、家庭成员或重大经历才能成立</x:v>
      </x:c>
      <x:c r="H11" s="30" t="str">
        <x:v>任务种子；品牌战略基线；PublishingAccount + ContentRole；目标受众</x:v>
      </x:c>
      <x:c r="I11" s="30" t="str">
        <x:v>从种子中列出可能的观察、矛盾和反应 → 只选一个最值得受众观看的主线 → 用品牌基线决定为何值得说 → 用账号位置决定谁能怎样说 → 给受众一个具体理解、共鸣、幽默或继续认识账号的理由</x:v>
      </x:c>
      <x:c r="J11" s="30" t="str">
        <x:v>受众能多认识账号一点；删除品牌名后内容仍值得看，但换品牌/账号后主线会变化；不强制商品、故事或商业动作</x:v>
      </x:c>
      <x:c r="K11" s="30" t="str">
        <x:v>把所有情绪堆进一篇；强行升华；品牌只在片尾出现；用实际操作人的私人生活替账号编履历</x:v>
      </x:c>
      <x:c r="L11" s="30" t="str">
        <x:v>依据: PRJ-MOTHER-V03; PRJ-ADR-014; EXP-D-METHODS-001
夹具: CDF-V15; CDF-V23</x:v>
      </x:c>
      <x:c r="M11" s="30" t="str">
        <x:v>review_candidate</x:v>
      </x:c>
    </x:row>
    <x:row r="12" ht="86" customHeight="1">
      <x:c r="A12" s="30" t="str">
        <x:v>D-PERSONA-002</x:v>
      </x:c>
      <x:c r="B12" s="30" t="str">
        <x:v>D04</x:v>
      </x:c>
      <x:c r="C12" s="30" t="str">
        <x:v>open_ended_persona</x:v>
      </x:c>
      <x:c r="D12" s="30" t="str">
        <x:v>保留未解决的生活毛边，不强迫给答案</x:v>
      </x:c>
      <x:c r="E12" s="30" t="str">
        <x:v>P3</x:v>
      </x:c>
      <x:c r="F12" s="30" t="str">
        <x:v>种子的价值来自矛盾、迟疑、尴尬或尚未解决；账号人格可以通过怎样对待未完成而被识别</x:v>
      </x:c>
      <x:c r="G12" s="30" t="str">
        <x:v>用户明确要求决策建议或问题解决，应路由 P1/P4；内容只有模糊情绪，没有具体观察</x:v>
      </x:c>
      <x:c r="H12" s="30" t="str">
        <x:v>未解决事件或矛盾；账号对人的基本姿态；受众可能获得的关系回报</x:v>
      </x:c>
      <x:c r="I12" s="30" t="str">
        <x:v>保持事件的未完成状态 → 选择一个具体细节或反应作为承重 → 让账号表达理解、边界或态度 → 在有价值的位置停下，不用金句替用户解决生活</x:v>
      </x:c>
      <x:c r="J12" s="30" t="str">
        <x:v>结尾不解决但仍有观看回报；受众理解账号怎样对待人和不确定；没有假共情和空泛祝福</x:v>
      </x:c>
      <x:c r="K12" s="30" t="str">
        <x:v>强行励志；给出未经请求的人生建议；用留白掩盖没有内容；反复说同一个情绪</x:v>
      </x:c>
      <x:c r="L12" s="30" t="str">
        <x:v>依据: PRJ-MOTHER-V03; EXP-D-METHODS-001
夹具: CDF-V16</x:v>
      </x:c>
      <x:c r="M12" s="30" t="str">
        <x:v>review_candidate</x:v>
      </x:c>
    </x:row>
    <x:row r="13" ht="86" customHeight="1">
      <x:c r="A13" s="30" t="str">
        <x:v>D-RESPONSE-001</x:v>
      </x:c>
      <x:c r="B13" s="30" t="str">
        <x:v>D05</x:v>
      </x:c>
      <x:c r="C13" s="30" t="str">
        <x:v>public_response</x:v>
      </x:c>
      <x:c r="D13" s="30" t="str">
        <x:v>把私人提问编译为有公共观看价值的回应</x:v>
      </x:c>
      <x:c r="E13" s="30" t="str">
        <x:v>P1,P2,P4</x:v>
      </x:c>
      <x:c r="F13" s="30" t="str">
        <x:v>评论、搜索问句或门店问题代表更广泛的受众困惑；回应可以在保护个人信息的同时帮助更多人</x:v>
      </x:c>
      <x:c r="G13" s="30" t="str">
        <x:v>问题只涉及个别人的敏感事实；回应会变成客服工单、售后政策或私人争论</x:v>
      </x:c>
      <x:c r="H13" s="30" t="str">
        <x:v>原问题或评论；可公开的共性问题；账号合法回应位置；可提供的帮助或边界</x:v>
      </x:c>
      <x:c r="I13" s="30" t="str">
        <x:v>去除可识别个人细节 → 提炼更多人也会遇到的共同张力 → 从品牌账号合法位置给出具体回应 → 让未参与原评论的人也能带走判断、理解或关系许可</x:v>
      </x:c>
      <x:c r="J13" s="30" t="str">
        <x:v>不依赖原评论上下文也能看懂；没有暴露评论者或建立 CRM；不是只回答一句“欢迎私聊”</x:v>
      </x:c>
      <x:c r="K13" s="30" t="str">
        <x:v>复述评论后自我表扬；用一个人代表全部顾客；泄露个人信息；只做客服话术或搜索摘要</x:v>
      </x:c>
      <x:c r="L13" s="30" t="str">
        <x:v>依据: PRJ-MOTHER-V03; PRJ-ADR-011; EXP-D-METHODS-001
夹具: CDF-V17</x:v>
      </x:c>
      <x:c r="M13" s="30" t="str">
        <x:v>review_candidate</x:v>
      </x:c>
    </x:row>
    <x:row r="14" ht="86" customHeight="1">
      <x:c r="A14" s="30" t="str">
        <x:v>D-RESPONSE-002</x:v>
      </x:c>
      <x:c r="B14" s="30" t="str">
        <x:v>D05</x:v>
      </x:c>
      <x:c r="C14" s="30" t="str">
        <x:v>local_relationship_response</x:v>
      </x:c>
      <x:c r="D14" s="30" t="str">
        <x:v>在地关系三关编译</x:v>
      </x:c>
      <x:c r="E14" s="30" t="str">
        <x:v>P4</x:v>
      </x:c>
      <x:c r="F14" s="30" t="str">
        <x:v>主要成果是让品牌/账号进入当地日常并推进关系；有或没有现实信号，都能形成具体在地关系命题</x:v>
      </x:c>
      <x:c r="G14" s="30" t="str">
        <x:v>地域信息只是装饰；主要价值实际是选择、商品解释、人格或视觉，应路由其他产品</x:v>
      </x:c>
      <x:c r="H14" s="30" t="str">
        <x:v>在地上下文；品牌战略基线；合法发布账号与角色；目标受众；可用现实信号或服务输入</x:v>
      </x:c>
      <x:c r="I14" s="30" t="str">
        <x:v>第一关：确认地域是否实质改变处境、判断、行动或关系姿态 → 第二关：让当前账号从合法位置作出具体回应 → 第三关：明确受众得到什么理解、帮助、服务边界、熟悉感或继续关系理由 → 最后编译为完整成品，而不是选题/搜索摘要</x:v>
      </x:c>
      <x:c r="J14" s="30" t="str">
        <x:v>抽掉地域承重后 P4 性应消失或转路由；账号不可随意互换；未到店者也能得到关系回报</x:v>
      </x:c>
      <x:c r="K14" s="30" t="str">
        <x:v>总部稿换城市名；只有“我们懂你”；把搜索信号当顾客事实；只有地址/优惠/CTA</x:v>
      </x:c>
      <x:c r="L14" s="30" t="str">
        <x:v>依据: PRJ-MOTHER-V03; PRJ-ADR-014; EXP-D-METHODS-001
夹具: CDF-V18; CDF-V24</x:v>
      </x:c>
      <x:c r="M14" s="30" t="str">
        <x:v>review_candidate</x:v>
      </x:c>
    </x:row>
    <x:row r="15" ht="86" customHeight="1">
      <x:c r="A15" s="30" t="str">
        <x:v>D-DRAMA-001</x:v>
      </x:c>
      <x:c r="B15" s="30" t="str">
        <x:v>D06</x:v>
      </x:c>
      <x:c r="C15" s="30" t="str">
        <x:v>enriched_actual</x:v>
      </x:c>
      <x:c r="D15" s="30" t="str">
        <x:v>真实种子的增益式情景化</x:v>
      </x:c>
      <x:c r="E15" s="30" t="str">
        <x:v>P1,P2,P3,P4,P5</x:v>
      </x:c>
      <x:c r="F15" s="30" t="str">
        <x:v>用户按真实经历提供种子，允许默认 enriched；需要用对白、动作、节奏或画面增强可读性和可制作性</x:v>
      </x:c>
      <x:c r="G15" s="30" t="str">
        <x:v>新增内容会改变人物身份、关系、事件结果、时间地点数量或公众对实际发生的理解；用户要求逐字记录</x:v>
      </x:c>
      <x:c r="H15" s="30" t="str">
        <x:v>任务种子；premise_invariants；creative_license；当前媒体与制作条件</x:v>
      </x:c>
      <x:c r="I15" s="30" t="str">
        <x:v>先提取身份、关系、结果、明确时间地点数量等不变量 → 只增加不改变因果与结果的动作、情绪、节奏和拍摄设计 → 新增对白不得冒充逐字记录 → 真实事件与摆拍画面分别处理，不互相证明</x:v>
      </x:c>
      <x:c r="J15" s="30" t="str">
        <x:v>内容更完整但承重前提保持；普通创作细节无需逐项确认；成品不展示内部演绎清单</x:v>
      </x:c>
      <x:c r="K15" s="30" t="str">
        <x:v>新增购买/冲突/疾病/人物；把摆拍当现场实录；把创作新增写回真实履历；为了安全把内容压缩成复述</x:v>
      </x:c>
      <x:c r="L15" s="30" t="str">
        <x:v>依据: PRJ-ADR-014; PRJ-MOTHER-V03; EXP-D-METHODS-001
夹具: CDF-V19</x:v>
      </x:c>
      <x:c r="M15" s="30" t="str">
        <x:v>review_candidate</x:v>
      </x:c>
    </x:row>
    <x:row r="16" ht="86" customHeight="1">
      <x:c r="A16" s="30" t="str">
        <x:v>D-DRAMA-002</x:v>
      </x:c>
      <x:c r="B16" s="30" t="str">
        <x:v>D06</x:v>
      </x:c>
      <x:c r="C16" s="30" t="str">
        <x:v>explicit_fiction</x:v>
      </x:c>
      <x:c r="D16" s="30" t="str">
        <x:v>假设与虚构的显式演绎</x:v>
      </x:c>
      <x:c r="E16" s="30" t="str">
        <x:v>P1,P2,P3,P4,P5</x:v>
      </x:c>
      <x:c r="F16" s="30" t="str">
        <x:v>用户明确要求情景剧、假设或虚构；完整戏剧化有助于呈现问题或品牌人格</x:v>
      </x:c>
      <x:c r="G16" s="30" t="str">
        <x:v>任务需要冒充真实顾客案例、门店现场或逐字记录；虚构会覆盖真实商品和经营硬事实</x:v>
      </x:c>
      <x:c r="H16" s="30" t="str">
        <x:v>明确的假设/虚构授权；角色和场景设定；不可被虚构覆盖的商品/品牌/权限边界</x:v>
      </x:c>
      <x:c r="I16" s="30" t="str">
        <x:v>用自然方式让受众理解这是情景、假设或虚构 → 在设定内保持人物和因果一致 → 真实商品与经营信息仍按当前输入忠实使用 → 不把虚构结果写回门店事实、人物履历或知识库</x:v>
      </x:c>
      <x:c r="J16" s="30" t="str">
        <x:v>创作自由充分且现实口径清楚；虚构设定前后一致；后续系列只在虚构系列状态中延续</x:v>
      </x:c>
      <x:c r="K16" s="30" t="str">
        <x:v>模糊真实与虚构；把情景剧当顾客案例；用虚构销量/价格/疗效推动剧情；默认所有 P3 都要戏剧化</x:v>
      </x:c>
      <x:c r="L16" s="30" t="str">
        <x:v>依据: PRJ-ADR-014; PRJ-MOTHER-V03; EXP-D-METHODS-001
夹具: CDF-V20</x:v>
      </x:c>
      <x:c r="M16" s="30" t="str">
        <x:v>review_candidate</x:v>
      </x:c>
    </x:row>
    <x:row r="17" ht="86" customHeight="1">
      <x:c r="A17" s="30" t="str">
        <x:v>D-RHETORIC-001</x:v>
      </x:c>
      <x:c r="B17" s="30" t="str">
        <x:v>D07</x:v>
      </x:c>
      <x:c r="C17" s="30" t="str">
        <x:v>rhetoric_as_explanation</x:v>
      </x:c>
      <x:c r="D17" s="30" t="str">
        <x:v>把幽默、比喻和反差当作解释器</x:v>
      </x:c>
      <x:c r="E17" s="30" t="str">
        <x:v>P1,P2,P3,P4,P5</x:v>
      </x:c>
      <x:c r="F17" s="30" t="str">
        <x:v>修辞能够让专业关系、人格反应或视觉变化更容易被理解和记住</x:v>
      </x:c>
      <x:c r="G17" s="30" t="str">
        <x:v>修辞会遮蔽事实、贬损人物或取代主产品价值；只有靠夸张和梗才能成立</x:v>
      </x:c>
      <x:c r="H17" s="30" t="str">
        <x:v>主要产品价值；需要被解释或放大的具体关系；账号语气边界</x:v>
      </x:c>
      <x:c r="I17" s="30" t="str">
        <x:v>先保证核心结论或观察独立成立 → 选择一种最匹配的修辞 → 让修辞指向具体对象或关系 → 删除所有只增加热闹、不推进理解的句子</x:v>
      </x:c>
      <x:c r="J17" s="30" t="str">
        <x:v>拿掉修辞后核心仍成立；修辞让受众更快理解而不是更困惑；符合账号位置和品牌表达幅度</x:v>
      </x:c>
      <x:c r="K17" s="30" t="str">
        <x:v>梗堆叠；把人当笑料；比喻冒充商品功能；用反差掩盖没有新理解</x:v>
      </x:c>
      <x:c r="L17" s="30" t="str">
        <x:v>依据: PRJ-ADR-014; PRJ-MOTHER-V03; EXP-D-METHODS-001
夹具: CDF-V21</x:v>
      </x:c>
      <x:c r="M17" s="30" t="str">
        <x:v>review_candidate</x:v>
      </x:c>
    </x:row>
    <x:row r="18" ht="86" customHeight="1">
      <x:c r="A18" s="30" t="str">
        <x:v>D-RHETORIC-002</x:v>
      </x:c>
      <x:c r="B18" s="30" t="str">
        <x:v>D07</x:v>
      </x:c>
      <x:c r="C18" s="30" t="str">
        <x:v>emotion_route</x:v>
      </x:c>
      <x:c r="D18" s="30" t="str">
        <x:v>一条内容只保留一条主情绪路线</x:v>
      </x:c>
      <x:c r="E18" s="30" t="str">
        <x:v>P1,P2,P3,P4,P5</x:v>
      </x:c>
      <x:c r="F18" s="30" t="str">
        <x:v>内容同时出现幽默、共情、克制、幸福感等多个候选效果；需要确定受众主要感受和表达方式</x:v>
      </x:c>
      <x:c r="G18" s="30" t="str">
        <x:v>不同效果属于多个独立成品方向，应使用 exploratory；主要产品价值尚未形成</x:v>
      </x:c>
      <x:c r="H18" s="30" t="str">
        <x:v>主要产品价值；账号语气；受众期望回报</x:v>
      </x:c>
      <x:c r="I18" s="30" t="str">
        <x:v>选择一个主 tone 或情绪路线 → 确有必要时保留一个辅助效果 → 让每个段落服务同一主观看理由 → 删除互相抵消的煽情、搞笑或升华</x:v>
      </x:c>
      <x:c r="J18" s="30" t="str">
        <x:v>受众能感到清楚的主基调；情绪服务内容而非压过事实和判断；没有 AI 大杂烩</x:v>
      </x:c>
      <x:c r="K18" s="30" t="str">
        <x:v>一篇里同时搞笑、治愈、热血、伤感和带货；情绪标签代替具体观察；辅助效果抢走主线</x:v>
      </x:c>
      <x:c r="L18" s="30" t="str">
        <x:v>依据: PRJ-MEMORY; PRJ-MOTHER-V03; EXP-D-METHODS-001
夹具: CDF-V21</x:v>
      </x:c>
      <x:c r="M18" s="30" t="str">
        <x:v>review_candidate</x:v>
      </x:c>
    </x:row>
    <x:row r="19" ht="86" customHeight="1">
      <x:c r="A19" s="30" t="str">
        <x:v>D-CRAFT-001</x:v>
      </x:c>
      <x:c r="B19" s="30" t="str">
        <x:v>D08</x:v>
      </x:c>
      <x:c r="C19" s="30" t="str">
        <x:v>progressive_editing</x:v>
      </x:c>
      <x:c r="D19" s="30" t="str">
        <x:v>每一段必须推进观察、证据、动作或关系</x:v>
      </x:c>
      <x:c r="E19" s="30" t="str">
        <x:v>P1,P2,P3,P4,P5</x:v>
      </x:c>
      <x:c r="F19" s="30" t="str">
        <x:v>初稿存在重复、空泛和节奏拖延；需要在自然时长内保持高信息密度和观看回报</x:v>
      </x:c>
      <x:c r="G19" s="30" t="str">
        <x:v>内容需要保留必要停顿、动作或视觉留白，不能只按字数删减；平台/媒体规格尚未确定</x:v>
      </x:c>
      <x:c r="H19" s="30" t="str">
        <x:v>主要产品价值；成品主线；当前媒体与制作条件</x:v>
      </x:c>
      <x:c r="I19" s="30" t="str">
        <x:v>给每段标记其唯一作用：结论、观察、证据、动作、关系或必要节奏 → 合并同义句 → 删除抽象正确和重复祝福 → 把解释移到最需要的位置 → 确保结尾不是自动升华而是完成主线</x:v>
      </x:c>
      <x:c r="J19" s="30" t="str">
        <x:v>删减后主要价值更清楚；没有运行报告和内部术语；自然时长来自内容需要而非固定秒数</x:v>
      </x:c>
      <x:c r="K19" s="30" t="str">
        <x:v>同义反复；每段都重新开题；万能金句；把完整误解为越长越好；机械截断关键边界</x:v>
      </x:c>
      <x:c r="L19" s="30" t="str">
        <x:v>依据: PRJ-MOTHER-V03; PRJ-ADR-014; EXP-D-METHODS-001
夹具: CDF-V22</x:v>
      </x:c>
      <x:c r="M19" s="30" t="str">
        <x:v>review_candidate</x:v>
      </x:c>
    </x:row>
    <x:row r="20" ht="86" customHeight="1">
      <x:c r="A20" s="30" t="str">
        <x:v>D-CRAFT-002</x:v>
      </x:c>
      <x:c r="B20" s="30" t="str">
        <x:v>D08</x:v>
      </x:c>
      <x:c r="C20" s="30" t="str">
        <x:v>sincere_voice</x:v>
      </x:c>
      <x:c r="D20" s="30" t="str">
        <x:v>自然口语、停顿和自我修正只在符合账号时使用</x:v>
      </x:c>
      <x:c r="E20" s="30" t="str">
        <x:v>P1,P2,P3,P4,P5</x:v>
      </x:c>
      <x:c r="F20" s="30" t="str">
        <x:v>内容角色本来就以自然交流、门店口吻或个人观察发声；适度不完美能增强真实交流感</x:v>
      </x:c>
      <x:c r="G20" s="30" t="str">
        <x:v>专业精确表达需要更正式语体；系统只能靠故意错字、结巴或口头禅制造“真人感”</x:v>
      </x:c>
      <x:c r="H20" s="30" t="str">
        <x:v>PublishingAccount + ContentRole；品牌表达边界；当前场景和媒体</x:v>
      </x:c>
      <x:c r="I20" s="30" t="str">
        <x:v>选择符合角色的句长和语气 → 保留有信息价值的停顿、自我修正或未完成 → 删除表演式结巴、故意错字和空口头禅 → 保证每一句仍推进具体观察、判断或关系</x:v>
      </x:c>
      <x:c r="J20" s="30" t="str">
        <x:v>语言像该账号自然会说的话；允许毛边但逻辑清楚；不需要真诚分数或禁词表</x:v>
      </x:c>
      <x:c r="K20" s="30" t="str">
        <x:v>故意粗糙；假共情；机械“不是…而是…”；万能祝福；用口语掩盖低信息量</x:v>
      </x:c>
      <x:c r="L20" s="30" t="str">
        <x:v>依据: PRJ-MOTHER-V03; PRJ-ADR-014; EXP-D-METHODS-001
夹具: CDF-V22</x:v>
      </x:c>
      <x:c r="M20" s="30" t="str">
        <x:v>review_candidate</x:v>
      </x:c>
    </x:row>
  </x:sheetData>
  <x:mergeCells>
    <x:mergeCell ref="A1:M1"/>
    <x:mergeCell ref="A2:M2"/>
  </x:mergeCells>
  <x:conditionalFormatting sqref="M5:M20">
    <x:cfRule type="expression" dxfId="3" priority="1">
      <x:formula>M5="review_candidate"</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8" hidden="0" customWidth="1"/>
    <x:col min="3" max="3" width="28" hidden="0" customWidth="1"/>
    <x:col min="4" max="4" width="18" hidden="0" customWidth="1"/>
    <x:col min="5" max="5" width="24" hidden="0" customWidth="1"/>
    <x:col min="6" max="6" width="14" hidden="0" customWidth="1"/>
    <x:col min="7" max="7" width="38" hidden="0" customWidth="1"/>
    <x:col min="8" max="8" width="28" hidden="0" customWidth="1"/>
    <x:col min="9" max="9" width="42" hidden="0" customWidth="1"/>
    <x:col min="10" max="10" width="42" hidden="0" customWidth="1"/>
    <x:col min="11" max="11" width="42" hidden="0" customWidth="1"/>
    <x:col min="12" max="12" width="18" hidden="0" customWidth="1"/>
    <x:col min="13" max="13" width="38" hidden="0" customWidth="1"/>
    <x:col min="14" max="14" width="34" hidden="0" customWidth="1"/>
    <x:col min="15" max="15" width="18" hidden="0" customWidth="1"/>
  </x:cols>
  <x:sheetData>
    <x:row r="1" ht="28" customHeight="1">
      <x:c r="A1" s="5" t="str">
        <x:v>F 行业角色与组织模板目录</x:v>
      </x:c>
      <x:c r="B1" s="5"/>
      <x:c r="C1" s="5"/>
      <x:c r="D1" s="5"/>
      <x:c r="E1" s="5"/>
      <x:c r="F1" s="5"/>
      <x:c r="G1" s="5"/>
      <x:c r="H1" s="5"/>
      <x:c r="I1" s="5"/>
      <x:c r="J1" s="5"/>
      <x:c r="K1" s="5"/>
      <x:c r="L1" s="5"/>
      <x:c r="M1" s="5"/>
      <x:c r="N1" s="5"/>
      <x:c r="O1" s="5"/>
    </x:row>
    <x:row r="2" ht="21" customHeight="1">
      <x:c r="A2" s="13" t="str">
        <x:v>行业冷启动原型；企业确认后才成为正式 ContentRole，且始终与操作人、权限和 PublishingAccount 分离</x:v>
      </x:c>
      <x:c r="B2" s="13"/>
      <x:c r="C2" s="13"/>
      <x:c r="D2" s="13"/>
      <x:c r="E2" s="13"/>
      <x:c r="F2" s="13"/>
      <x:c r="G2" s="13"/>
      <x:c r="H2" s="13"/>
      <x:c r="I2" s="13"/>
      <x:c r="J2" s="13"/>
      <x:c r="K2" s="13"/>
      <x:c r="L2" s="13"/>
      <x:c r="M2" s="13"/>
      <x:c r="N2" s="13"/>
      <x:c r="O2" s="13"/>
    </x:row>
    <x:row r="4">
      <x:c r="A4" s="22" t="str">
        <x:v>ID</x:v>
      </x:c>
      <x:c r="B4" s="22" t="str">
        <x:v>需求</x:v>
      </x:c>
      <x:c r="C4" s="22" t="str">
        <x:v>模板名</x:v>
      </x:c>
      <x:c r="D4" s="22" t="str">
        <x:v>类型</x:v>
      </x:c>
      <x:c r="E4" s="22" t="str">
        <x:v>角色族</x:v>
      </x:c>
      <x:c r="F4" s="22" t="str">
        <x:v>组织层级</x:v>
      </x:c>
      <x:c r="G4" s="22" t="str">
        <x:v>权威来源</x:v>
      </x:c>
      <x:c r="H4" s="22" t="str">
        <x:v>服务对象</x:v>
      </x:c>
      <x:c r="I4" s="22" t="str">
        <x:v>合法表达范围</x:v>
      </x:c>
      <x:c r="J4" s="22" t="str">
        <x:v>第一人称边界</x:v>
      </x:c>
      <x:c r="K4" s="22" t="str">
        <x:v>不得冒充</x:v>
      </x:c>
      <x:c r="L4" s="22" t="str">
        <x:v>默认产品机会</x:v>
      </x:c>
      <x:c r="M4" s="22" t="str">
        <x:v>最小确认问题</x:v>
      </x:c>
      <x:c r="N4" s="22" t="str">
        <x:v>依据/夹具</x:v>
      </x:c>
      <x:c r="O4" s="22" t="str">
        <x:v>状态</x:v>
      </x:c>
    </x:row>
    <x:row r="5" ht="92" customHeight="1">
      <x:c r="A5" s="30" t="str">
        <x:v>F-HQ-VALUE-001</x:v>
      </x:c>
      <x:c r="B5" s="30" t="str">
        <x:v>F01</x:v>
      </x:c>
      <x:c r="C5" s="30" t="str">
        <x:v>总部品牌价值/主理角色</x:v>
      </x:c>
      <x:c r="D5" s="30" t="str">
        <x:v>content_role</x:v>
      </x:c>
      <x:c r="E5" s="30" t="str">
        <x:v>headquarters_brand_value</x:v>
      </x:c>
      <x:c r="F5" s="30" t="str">
        <x:v>headquarters</x:v>
      </x:c>
      <x:c r="G5" s="30" t="str">
        <x:v>企业确认的品牌选择、价值取舍、长期承诺与组织决策；明确的品牌内容战略基线</x:v>
      </x:c>
      <x:c r="H5" s="30" t="str">
        <x:v>品牌目标受众；组织成员与渠道伙伴；公众与行业关系</x:v>
      </x:c>
      <x:c r="I5" s="30" t="str">
        <x:v>解释品牌为何作出某项长期选择；表达对人、衣服、消费、服务与组织的稳定立场；说明已经确认的组织取舍与承诺</x:v>
      </x:c>
      <x:c r="J5" s="30" t="str">
        <x:v>可以使用“我们/品牌”表达企业已确认的组织选择；只有该角色真实拥有且企业确认的个人经历才能用个人第一人称；不得把操作人的生活自动写进角色</x:v>
      </x:c>
      <x:c r="K5" s="30" t="str">
        <x:v>某家门店的第一人称顾客服务经历；未参与的商品设计/技术细节；未经企业确认的创始人私生活与人生经历；区域或终端的真实现场</x:v>
      </x:c>
      <x:c r="L5" s="30" t="str">
        <x:v>P3,P2,P1</x:v>
      </x:c>
      <x:c r="M5" s="30" t="str">
        <x:v>这项角色实际拥有哪类决策权或长期观察权；哪些“我们为什么”已经被企业确认；哪些话题必须转交商品/设计/区域/门店角色</x:v>
      </x:c>
      <x:c r="N5" s="30" t="str">
        <x:v>依据: PRJ-STRATEGY-V1; PRJ-ADR-005; PRJ-MOTHER-V03; EXP-F-ROLES-001
夹具: CDF-V23</x:v>
      </x:c>
      <x:c r="O5" s="30" t="str">
        <x:v>review_candidate</x:v>
      </x:c>
    </x:row>
    <x:row r="6" ht="92" customHeight="1">
      <x:c r="A6" s="30" t="str">
        <x:v>F-HQ-PRODUCT-001</x:v>
      </x:c>
      <x:c r="B6" s="30" t="str">
        <x:v>F02</x:v>
      </x:c>
      <x:c r="C6" s="30" t="str">
        <x:v>总部设计/商品专业角色</x:v>
      </x:c>
      <x:c r="D6" s="30" t="str">
        <x:v>content_role</x:v>
      </x:c>
      <x:c r="E6" s="30" t="str">
        <x:v>headquarters_product_expert</x:v>
      </x:c>
      <x:c r="F6" s="30" t="str">
        <x:v>headquarters</x:v>
      </x:c>
      <x:c r="G6" s="30" t="str">
        <x:v>企业确认的设计、商品、面料、版型或开发职责；当前品牌商品资料与已确认设计/开发理由</x:v>
      </x:c>
      <x:c r="H6" s="30" t="str">
        <x:v>目标消费者；区域与门店内容团队；品牌内部商品与内容协作人员</x:v>
      </x:c>
      <x:c r="I6" s="30" t="str">
        <x:v>解释真实商品事实、结构和专业取舍；在有品牌确认理由时说明设计/开发选择；用条件性专业知识帮助受众建立正确预期</x:v>
      </x:c>
      <x:c r="J6" s="30" t="str">
        <x:v>只有品牌已确认理由时可说“我们这样设计/开发”；没有理由时改用“这种结构通常可能…”；不得把通用知识说成品牌内部事实</x:v>
      </x:c>
      <x:c r="K6" s="30" t="str">
        <x:v>某门店顾客的第一人称经历；区域消费事实；没有资料支持的品牌设计动机、测试、成本与研发故事；系统权限或审批权</x:v>
      </x:c>
      <x:c r="L6" s="30" t="str">
        <x:v>P2,P1,P5</x:v>
      </x:c>
      <x:c r="M6" s="30" t="str">
        <x:v>该角色具体负责哪些商品/知识范围；哪些设计理由已确认可对外表达；哪些事实只能引用而不能第一人称认领</x:v>
      </x:c>
      <x:c r="N6" s="30" t="str">
        <x:v>依据: PRJ-STRATEGY-V1; PRJ-ADR-005; PRJ-MOTHER-V03; EXP-F-ROLES-001
夹具: CDF-V23</x:v>
      </x:c>
      <x:c r="O6" s="30" t="str">
        <x:v>review_candidate</x:v>
      </x:c>
    </x:row>
    <x:row r="7" ht="92" customHeight="1">
      <x:c r="A7" s="30" t="str">
        <x:v>F-HQ-SERVICE-001</x:v>
      </x:c>
      <x:c r="B7" s="30" t="str">
        <x:v>F02</x:v>
      </x:c>
      <x:c r="C7" s="30" t="str">
        <x:v>总部零售/服务专业角色</x:v>
      </x:c>
      <x:c r="D7" s="30" t="str">
        <x:v>content_role</x:v>
      </x:c>
      <x:c r="E7" s="30" t="str">
        <x:v>headquarters_retail_service_expert</x:v>
      </x:c>
      <x:c r="F7" s="30" t="str">
        <x:v>headquarters</x:v>
      </x:c>
      <x:c r="G7" s="30" t="str">
        <x:v>企业确认的零售培训、服务方法、试穿判断或渠道赋能职责；跨门店可复用的服务原则与专业方法</x:v>
      </x:c>
      <x:c r="H7" s="30" t="str">
        <x:v>区域与终端零售团队；品牌目标消费者；总部商品与内容团队</x:v>
      </x:c>
      <x:c r="I7" s="30" t="str">
        <x:v>解释通用服务方法、试穿判断和顾客决策方法；提供终端方法母模型；总结经确认的组织服务原则</x:v>
      </x:c>
      <x:c r="J7" s="30" t="str">
        <x:v>可以代表组织说明已确认的服务原则和方法；不能说“我们店今天/我们这里顾客都…”除非当前任务有合法事实和账号位置；不得替终端角色发声</x:v>
      </x:c>
      <x:c r="K7" s="30" t="str">
        <x:v>某家门店实际发生的顾客故事；当地生活和商圈的第一人称证明；未经确认的全国门店执行事实；门店管理审批权</x:v>
      </x:c>
      <x:c r="L7" s="30" t="str">
        <x:v>P1,P2,P3</x:v>
      </x:c>
      <x:c r="M7" s="30" t="str">
        <x:v>该角色真正负责培训、方法还是全国运营；哪些服务方法已经组织确认；何时必须切换到区域/终端账号表达</x:v>
      </x:c>
      <x:c r="N7" s="30" t="str">
        <x:v>依据: PRJ-STRATEGY-V1; PRJ-ADR-005; PRJ-MOTHER-V03; EXP-F-ROLES-001
夹具: CDF-V23</x:v>
      </x:c>
      <x:c r="O7" s="30" t="str">
        <x:v>review_candidate</x:v>
      </x:c>
    </x:row>
    <x:row r="8" ht="92" customHeight="1">
      <x:c r="A8" s="30" t="str">
        <x:v>F-REGION-OPERATOR-001</x:v>
      </x:c>
      <x:c r="B8" s="30" t="str">
        <x:v>F03</x:v>
      </x:c>
      <x:c r="C8" s="30" t="str">
        <x:v>区域经营/转译角色</x:v>
      </x:c>
      <x:c r="D8" s="30" t="str">
        <x:v>content_role</x:v>
      </x:c>
      <x:c r="E8" s="30" t="str">
        <x:v>regional_business_operator</x:v>
      </x:c>
      <x:c r="F8" s="30" t="str">
        <x:v>regional</x:v>
      </x:c>
      <x:c r="G8" s="30" t="str">
        <x:v>企业与区域主体确认的区域经营、培训、渠道或市场职责；合法区域位置和可用的公开/用户输入在地上下文</x:v>
      </x:c>
      <x:c r="H8" s="30" t="str">
        <x:v>区域目标受众；区域加盟网络；总部与终端协作对象</x:v>
      </x:c>
      <x:c r="I8" s="30" t="str">
        <x:v>把品牌核心转成区域气候、移动、节奏和关系语境；总结真实可用的区域经营观察；组织区域层面的 P4 关系与 P1/P2 本地适用表达</x:v>
      </x:c>
      <x:c r="J8" s="30" t="str">
        <x:v>可以说“在我们负责的区域/这段经营观察中”并保持范围；不能说“我们品牌当初设计…”除非同时拥有确认的总部身份；不能替加盟店说“我们店”</x:v>
      </x:c>
      <x:c r="K8" s="30" t="str">
        <x:v>总部设计/品牌价值决策者；某家加盟店的第一人称现场；未经输入的地区人群画像；终端私人素材与私人系列前情</x:v>
      </x:c>
      <x:c r="L8" s="30" t="str">
        <x:v>P4,P1,P2,P3</x:v>
      </x:c>
      <x:c r="M8" s="30" t="str">
        <x:v>该角色负责哪个区域和哪些业务动作；哪些地域差异来自公开背景，哪些来自真实经营输入；哪些内容必须由具体门店账号完成</x:v>
      </x:c>
      <x:c r="N8" s="30" t="str">
        <x:v>依据: PRJ-STRATEGY-V1; PRJ-ADR-005; PRJ-MOTHER-V03; EXP-F-ROLES-001
夹具: CDF-V24</x:v>
      </x:c>
      <x:c r="O8" s="30" t="str">
        <x:v>review_candidate</x:v>
      </x:c>
    </x:row>
    <x:row r="9" ht="92" customHeight="1">
      <x:c r="A9" s="30" t="str">
        <x:v>F-STORE-MANAGER-001</x:v>
      </x:c>
      <x:c r="B9" s="30" t="str">
        <x:v>F04</x:v>
      </x:c>
      <x:c r="C9" s="30" t="str">
        <x:v>终端店长/门店经营者角色</x:v>
      </x:c>
      <x:c r="D9" s="30" t="str">
        <x:v>content_role</x:v>
      </x:c>
      <x:c r="E9" s="30" t="str">
        <x:v>store_manager_operator</x:v>
      </x:c>
      <x:c r="F9" s="30" t="str">
        <x:v>store</x:v>
      </x:c>
      <x:c r="G9" s="30" t="str">
        <x:v>企业确认的门店经营与服务职责；该门店用户主动提供的真实观察、商品与服务输入；合法 PublishingAccount 与 ContentRole</x:v>
      </x:c>
      <x:c r="H9" s="30" t="str">
        <x:v>本地受众与真实到店顾客；门店团队；品牌区域网络</x:v>
      </x:c>
      <x:c r="I9" s="30" t="str">
        <x:v>回应本地生活与门店服务关系；从真实经营小事中建立账号人格；帮助顾客选择并说明门店能做什么、不能做什么；在真实制作条件下完成 P5</x:v>
      </x:c>
      <x:c r="J9" s="30" t="str">
        <x:v>只有当前任务有真实输入时可说“今天店里/我们店”；可以使用企业确认的组织性店长人设，但不得把操作人的私人生活自动并入；商品设计动机必须引用总部资料或改为条件性解释</x:v>
      </x:c>
      <x:c r="K9" s="30" t="str">
        <x:v>总部品牌价值或设计决策者；未经输入的顾客故事、销量、库存和活动；实际操作人的私人家庭履历；其他门店的第一人称经验</x:v>
      </x:c>
      <x:c r="L9" s="30" t="str">
        <x:v>P4,P3,P1,P5,P2</x:v>
      </x:c>
      <x:c r="M9" s="30" t="str">
        <x:v>该角色实际能承诺哪些服务边界；哪些门店事实可以本次使用；哪些生活领域是企业确认的人设范围而非操作人隐私</x:v>
      </x:c>
      <x:c r="N9" s="30" t="str">
        <x:v>依据: PRJ-STRATEGY-V1; PRJ-ADR-005; PRJ-MOTHER-V03; EXP-F-ROLES-001
夹具: CDF-V23; CDF-V24</x:v>
      </x:c>
      <x:c r="O9" s="30" t="str">
        <x:v>review_candidate</x:v>
      </x:c>
    </x:row>
    <x:row r="10" ht="92" customHeight="1">
      <x:c r="A10" s="30" t="str">
        <x:v>F-STORE-ADVISOR-001</x:v>
      </x:c>
      <x:c r="B10" s="30" t="str">
        <x:v>F04</x:v>
      </x:c>
      <x:c r="C10" s="30" t="str">
        <x:v>终端搭配顾问/导购角色</x:v>
      </x:c>
      <x:c r="D10" s="30" t="str">
        <x:v>content_role</x:v>
      </x:c>
      <x:c r="E10" s="30" t="str">
        <x:v>store_styling_advisor</x:v>
      </x:c>
      <x:c r="F10" s="30" t="str">
        <x:v>store</x:v>
      </x:c>
      <x:c r="G10" s="30" t="str">
        <x:v>企业确认的试穿、搭配、商品服务或导购职责；当前品牌共享知识与本次真实商品/顾客问题输入</x:v>
      </x:c>
      <x:c r="H10" s="30" t="str">
        <x:v>门店目标受众与顾客；门店账号受众；店长与门店团队</x:v>
      </x:c>
      <x:c r="I10" s="30" t="str">
        <x:v>帮助受众形成条件性穿衣选择；解释当前商品的真实取舍；把试穿观察转成不羞辱身体的专业内容；协助可执行造型与视觉呈现</x:v>
      </x:c>
      <x:c r="J10" s="30" t="str">
        <x:v>可以从“我在试穿/服务中会先看什么”表达专业方法；只有真实输入时可讲某次顾客观察；不得把一位顾客扩大成所有人</x:v>
      </x:c>
      <x:c r="K10" s="30" t="str">
        <x:v>医疗或身体诊断者；总部设计/开发决策者；未经输入的顾客购买结果与私人关系；店长经营决策权限</x:v>
      </x:c>
      <x:c r="L10" s="30" t="str">
        <x:v>P1,P2,P4,P5,P3</x:v>
      </x:c>
      <x:c r="M10" s="30" t="str">
        <x:v>该角色被企业确认的专业范围是什么；哪些判断需要条件或试穿验证；哪些内容必须由店长/总部专家表达</x:v>
      </x:c>
      <x:c r="N10" s="30" t="str">
        <x:v>依据: PRJ-STRATEGY-V1; PRJ-ADR-005; PRJ-MOTHER-V03; EXP-F-ROLES-001
夹具: CDF-V23</x:v>
      </x:c>
      <x:c r="O10" s="30" t="str">
        <x:v>review_candidate</x:v>
      </x:c>
    </x:row>
    <x:row r="11" ht="92" customHeight="1">
      <x:c r="A11" s="30" t="str">
        <x:v>F-MATRIX-001</x:v>
      </x:c>
      <x:c r="B11" s="30" t="str">
        <x:v>F05</x:v>
      </x:c>
      <x:c r="C11" s="30" t="str">
        <x:v>三级 IP 矩阵冷启动规划模板</x:v>
      </x:c>
      <x:c r="D11" s="30" t="str">
        <x:v>matrix_planning</x:v>
      </x:c>
      <x:c r="E11" s="30" t="str">
        <x:v>three_level_ip_matrix_planning</x:v>
      </x:c>
      <x:c r="F11" s="30" t="str">
        <x:v>cross_level</x:v>
      </x:c>
      <x:c r="G11" s="30" t="str">
        <x:v>企业已确认的最低可用品牌内容战略基线；组织、品牌、区域与试点门店的真实关系</x:v>
      </x:c>
      <x:c r="H11" s="30" t="str">
        <x:v>品牌租户开通与内容负责人；总部、区域、终端试点组织</x:v>
      </x:c>
      <x:c r="I11" s="30" t="str">
        <x:v>确定当前最小需要的角色组合及其互补任务；区分总部定义、区域转译、终端关系证明；为每个角色建议合法发布账号和首批 P1—P5 机会</x:v>
      </x:c>
      <x:c r="J11" s="30" t="str">
        <x:v>本模板不直接对外发声；只能生成待企业修改确认的规划候选；任何账号的人设与授权仍须单独确认</x:v>
      </x:c>
      <x:c r="K11" s="30" t="str">
        <x:v>任何一个具体真人或发布账号；把五类角色资产理解为必须创建五个账号；把模板角色直接激活为正式人设；用总部账号替门店角色</x:v>
      </x:c>
      <x:c r="L11" s="30" t="str">
        <x:v>P1,P2,P3,P4,P5</x:v>
      </x:c>
      <x:c r="M11" s="30" t="str">
        <x:v>品牌基线已确认哪些稳定选择与拒绝；总部/区域/终端目前有哪些真实权威与生产能力；哪些最小角色可以覆盖首批任务而不冒充</x:v>
      </x:c>
      <x:c r="N11" s="30" t="str">
        <x:v>依据: PRJ-STRATEGY-V1; PRJ-ADR-005; PRJ-MOTHER-V03; PRJ-ADR-014; EXP-F-ROLES-001
夹具: CDF-V25</x:v>
      </x:c>
      <x:c r="O11" s="30" t="str">
        <x:v>review_candidate</x:v>
      </x:c>
    </x:row>
    <x:row r="12" ht="92" customHeight="1">
      <x:c r="A12" s="30" t="str">
        <x:v>F-SYMBOL-001</x:v>
      </x:c>
      <x:c r="B12" s="30" t="str">
        <x:v>F05</x:v>
      </x:c>
      <x:c r="C12" s="30" t="str">
        <x:v>商品/栏目/服务仪式符号模板</x:v>
      </x:c>
      <x:c r="D12" s="30" t="str">
        <x:v>non_human_symbol</x:v>
      </x:c>
      <x:c r="E12" s="30" t="str">
        <x:v>non_human_product_or_column_symbol</x:v>
      </x:c>
      <x:c r="F12" s="30" t="str">
        <x:v>cross_level</x:v>
      </x:c>
      <x:c r="G12" s="30" t="str">
        <x:v>企业确认的真实商品、栏目承诺或服务动作；可持续重复且不依赖某个自然人的品牌资产</x:v>
      </x:c>
      <x:c r="H12" s="30" t="str">
        <x:v>品牌账号受众；矩阵中的多个合法账号；品牌内容团队</x:v>
      </x:c>
      <x:c r="I12" s="30" t="str">
        <x:v>围绕真实商品、固定栏目问题或服务仪式形成可重复记忆；作为 P2/P3/P5 的非真人资产参与内容；帮助矩阵在人员变化时保持连续</x:v>
      </x:c>
      <x:c r="J12" s="30" t="str">
        <x:v>默认不使用人类第一人称和私人经历；拟人化只可作为明确创意表达，不能生成真实身份、权威或历史；符号不能替代合法 PublishingAccount + ContentRole</x:v>
      </x:c>
      <x:c r="K12" s="30" t="str">
        <x:v>真人经历、情绪与第一人称人生；未经确认的品牌事实；自动发布账号或系统权限；跨品牌共享的万能符号</x:v>
      </x:c>
      <x:c r="L12" s="30" t="str">
        <x:v>P2,P3,P5,P4</x:v>
      </x:c>
      <x:c r="M12" s="30" t="str">
        <x:v>它对应哪一项真实品牌资产；受众每次应获得什么稳定承诺；哪些表达必须随账号、商品和任务变化</x:v>
      </x:c>
      <x:c r="N12" s="30" t="str">
        <x:v>依据: PRJ-STRATEGY-V1; PRJ-ADR-013; PRJ-MOTHER-V03; EXP-F-ROLES-001
夹具: CDF-V25</x:v>
      </x:c>
      <x:c r="O12" s="30" t="str">
        <x:v>review_candidate</x:v>
      </x:c>
    </x:row>
  </x:sheetData>
  <x:mergeCells>
    <x:mergeCell ref="A1:O1"/>
    <x:mergeCell ref="A2:O2"/>
  </x:mergeCells>
  <x:conditionalFormatting sqref="O5:O12">
    <x:cfRule type="expression" dxfId="4" priority="1">
      <x:formula>O5="review_candidate"</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8" hidden="0" customWidth="1"/>
    <x:col min="3" max="3" width="30" hidden="0" customWidth="1"/>
    <x:col min="4" max="4" width="12" hidden="0" customWidth="1"/>
    <x:col min="5" max="5" width="52" hidden="0" customWidth="1"/>
    <x:col min="6" max="6" width="18" hidden="0" customWidth="1"/>
    <x:col min="7" max="7" width="52" hidden="0" customWidth="1"/>
    <x:col min="8" max="8" width="40" hidden="0" customWidth="1"/>
    <x:col min="9" max="9" width="18" hidden="0" customWidth="1"/>
  </x:cols>
  <x:sheetData>
    <x:row r="1" ht="28" customHeight="1">
      <x:c r="A1" s="5" t="str">
        <x:v>C/D/F 需求映射</x:v>
      </x:c>
      <x:c r="B1" s="5"/>
      <x:c r="C1" s="5"/>
      <x:c r="D1" s="5"/>
      <x:c r="E1" s="5"/>
      <x:c r="F1" s="5"/>
      <x:c r="G1" s="5"/>
      <x:c r="H1" s="5"/>
      <x:c r="I1" s="5"/>
    </x:row>
    <x:row r="2" ht="21" customHeight="1">
      <x:c r="A2" s="13" t="str">
        <x:v>19 个需求主题均已形成首批最小候选；数量只表示当前切片，不是未来条目配额</x:v>
      </x:c>
      <x:c r="B2" s="13"/>
      <x:c r="C2" s="13"/>
      <x:c r="D2" s="13"/>
      <x:c r="E2" s="13"/>
      <x:c r="F2" s="13"/>
      <x:c r="G2" s="13"/>
      <x:c r="H2" s="13"/>
      <x:c r="I2" s="13"/>
    </x:row>
    <x:row r="4">
      <x:c r="A4" s="22" t="str">
        <x:v>需求ID</x:v>
      </x:c>
      <x:c r="B4" s="22" t="str">
        <x:v>范畴</x:v>
      </x:c>
      <x:c r="C4" s="22" t="str">
        <x:v>主题</x:v>
      </x:c>
      <x:c r="D4" s="22" t="str">
        <x:v>候选数量</x:v>
      </x:c>
      <x:c r="E4" s="22" t="str">
        <x:v>资产ID</x:v>
      </x:c>
      <x:c r="F4" s="22" t="str">
        <x:v>主要支撑产品</x:v>
      </x:c>
      <x:c r="G4" s="22" t="str">
        <x:v>验收重点</x:v>
      </x:c>
      <x:c r="H4" s="22" t="str">
        <x:v>明确边界</x:v>
      </x:c>
      <x:c r="I4" s="22" t="str">
        <x:v>状态</x:v>
      </x:c>
    </x:row>
    <x:row r="5" ht="70" customHeight="1">
      <x:c r="A5" s="30" t="str">
        <x:v>C01</x:v>
      </x:c>
      <x:c r="B5" s="30" t="str">
        <x:v>C</x:v>
      </x:c>
      <x:c r="C5" s="30" t="str">
        <x:v>通勤场景张力</x:v>
      </x:c>
      <x:c r="D5" s="30" t="n">
        <x:v>3</x:v>
      </x:c>
      <x:c r="E5" s="30" t="str">
        <x:v>C-COMMUTE-001; C-COMMUTE-002; C-COMMUTE-003</x:v>
      </x:c>
      <x:c r="F5" s="30" t="str">
        <x:v>P1,P3,P4</x:v>
      </x:c>
      <x:c r="G5" s="30" t="str">
        <x:v>多阶段通勤与交通方式应改变判断，不产生职业/城市刻板画像</x:v>
      </x:c>
      <x:c r="H5" s="30" t="str">
        <x:v>不建职业女性画像</x:v>
      </x:c>
      <x:c r="I5" s="30" t="str">
        <x:v>review_candidate</x:v>
      </x:c>
    </x:row>
    <x:row r="6" ht="70" customHeight="1">
      <x:c r="A6" s="30" t="str">
        <x:v>C02</x:v>
      </x:c>
      <x:c r="B6" s="30" t="str">
        <x:v>C</x:v>
      </x:c>
      <x:c r="C6" s="30" t="str">
        <x:v>家庭、亲子与照护场景</x:v>
      </x:c>
      <x:c r="D6" s="30" t="n">
        <x:v>3</x:v>
      </x:c>
      <x:c r="E6" s="30" t="str">
        <x:v>C-CARE-001; C-CARE-002; C-CARE-003</x:v>
      </x:c>
      <x:c r="F6" s="30" t="str">
        <x:v>P1,P3,P4</x:v>
      </x:c>
      <x:c r="G6" s="30" t="str">
        <x:v>家庭与照护张力不默认性别、牺牲和代际对立</x:v>
      </x:c>
      <x:c r="H6" s="30" t="str">
        <x:v>不建家庭人物实体/未成年人素材</x:v>
      </x:c>
      <x:c r="I6" s="30" t="str">
        <x:v>review_candidate</x:v>
      </x:c>
    </x:row>
    <x:row r="7" ht="70" customHeight="1">
      <x:c r="A7" s="30" t="str">
        <x:v>C03</x:v>
      </x:c>
      <x:c r="B7" s="30" t="str">
        <x:v>C</x:v>
      </x:c>
      <x:c r="C7" s="30" t="str">
        <x:v>旅行与移动场景</x:v>
      </x:c>
      <x:c r="D7" s="30" t="n">
        <x:v>3</x:v>
      </x:c>
      <x:c r="E7" s="30" t="str">
        <x:v>C-TRAVEL-001; C-TRAVEL-002; C-TRAVEL-003</x:v>
      </x:c>
      <x:c r="F7" s="30" t="str">
        <x:v>P1,P3,P5</x:v>
      </x:c>
      <x:c r="G7" s="30" t="str">
        <x:v>旅行选择保留未知条件，不用“百搭必备”代替真实取舍</x:v>
      </x:c>
      <x:c r="H7" s="30" t="str">
        <x:v>不存动态天气/行程</x:v>
      </x:c>
      <x:c r="I7" s="30" t="str">
        <x:v>review_candidate</x:v>
      </x:c>
    </x:row>
    <x:row r="8" ht="70" customHeight="1">
      <x:c r="A8" s="30" t="str">
        <x:v>C04</x:v>
      </x:c>
      <x:c r="B8" s="30" t="str">
        <x:v>C</x:v>
      </x:c>
      <x:c r="C8" s="30" t="str">
        <x:v>社交、约会与关系距离</x:v>
      </x:c>
      <x:c r="D8" s="30" t="n">
        <x:v>3</x:v>
      </x:c>
      <x:c r="E8" s="30" t="str">
        <x:v>C-SOCIAL-001; C-SOCIAL-002; C-SOCIAL-003</x:v>
      </x:c>
      <x:c r="F8" s="30" t="str">
        <x:v>P1,P3,P4,P5</x:v>
      </x:c>
      <x:c r="G8" s="30" t="str">
        <x:v>关系距离与被看见张力具体化，不按性别/婚姻/年龄决定答案</x:v>
      </x:c>
      <x:c r="H8" s="30" t="str">
        <x:v>不建群体心理画像</x:v>
      </x:c>
      <x:c r="I8" s="30" t="str">
        <x:v>review_candidate</x:v>
      </x:c>
    </x:row>
    <x:row r="9" ht="70" customHeight="1">
      <x:c r="A9" s="30" t="str">
        <x:v>C05</x:v>
      </x:c>
      <x:c r="B9" s="30" t="str">
        <x:v>C</x:v>
      </x:c>
      <x:c r="C9" s="30" t="str">
        <x:v>居家—公共空间转换</x:v>
      </x:c>
      <x:c r="D9" s="30" t="n">
        <x:v>3</x:v>
      </x:c>
      <x:c r="E9" s="30" t="str">
        <x:v>C-HOME-001; C-HOME-002; C-HOME-003</x:v>
      </x:c>
      <x:c r="F9" s="30" t="str">
        <x:v>P1,P3,P4,P5</x:v>
      </x:c>
      <x:c r="G9" s="30" t="str">
        <x:v>居家—公共切换不羞辱日常，也不输出万能公式</x:v>
      </x:c>
      <x:c r="H9" s="30" t="str">
        <x:v>不囤积生活鸡汤</x:v>
      </x:c>
      <x:c r="I9" s="30" t="str">
        <x:v>review_candidate</x:v>
      </x:c>
    </x:row>
    <x:row r="10" ht="70" customHeight="1">
      <x:c r="A10" s="30" t="str">
        <x:v>C06</x:v>
      </x:c>
      <x:c r="B10" s="30" t="str">
        <x:v>C</x:v>
      </x:c>
      <x:c r="C10" s="30" t="str">
        <x:v>本地生活与门店服务关系</x:v>
      </x:c>
      <x:c r="D10" s="30" t="n">
        <x:v>4</x:v>
      </x:c>
      <x:c r="E10" s="30" t="str">
        <x:v>C-LOCAL-001; C-LOCAL-002; C-LOCAL-003; C-LOCAL-004</x:v>
      </x:c>
      <x:c r="F10" s="30" t="str">
        <x:v>P1,P3,P4</x:v>
      </x:c>
      <x:c r="G10" s="30" t="str">
        <x:v>地域必须实质改变处境/关系；公开信号不替代门店事实</x:v>
      </x:c>
      <x:c r="H10" s="30" t="str">
        <x:v>不存具体城市、门店、活动和顾客事实</x:v>
      </x:c>
      <x:c r="I10" s="30" t="str">
        <x:v>review_candidate</x:v>
      </x:c>
    </x:row>
    <x:row r="11" ht="70" customHeight="1">
      <x:c r="A11" s="30" t="str">
        <x:v>D01</x:v>
      </x:c>
      <x:c r="B11" s="30" t="str">
        <x:v>D</x:v>
      </x:c>
      <x:c r="C11" s="30" t="str">
        <x:v>直接判断</x:v>
      </x:c>
      <x:c r="D11" s="30" t="n">
        <x:v>2</x:v>
      </x:c>
      <x:c r="E11" s="30" t="str">
        <x:v>D-DIRECT-001; D-DIRECT-002</x:v>
      </x:c>
      <x:c r="F11" s="30" t="str">
        <x:v>P1,P2,P4</x:v>
      </x:c>
      <x:c r="G11" s="30" t="str">
        <x:v>问题清楚时先结论、边界与下一步，不强加故事</x:v>
      </x:c>
      <x:c r="H11" s="30" t="str">
        <x:v>不固定三段式</x:v>
      </x:c>
      <x:c r="I11" s="30" t="str">
        <x:v>review_candidate</x:v>
      </x:c>
    </x:row>
    <x:row r="12" ht="70" customHeight="1">
      <x:c r="A12" s="30" t="str">
        <x:v>D02</x:v>
      </x:c>
      <x:c r="B12" s="30" t="str">
        <x:v>D</x:v>
      </x:c>
      <x:c r="C12" s="30" t="str">
        <x:v>条件性专业解释</x:v>
      </x:c>
      <x:c r="D12" s="30" t="n">
        <x:v>2</x:v>
      </x:c>
      <x:c r="E12" s="30" t="str">
        <x:v>D-EXPLAIN-001; D-EXPLAIN-002</x:v>
      </x:c>
      <x:c r="F12" s="30" t="str">
        <x:v>P1,P2,P3,P4,P5</x:v>
      </x:c>
      <x:c r="G12" s="30" t="str">
        <x:v>条件、代价与不适用完整；官方理由与系统解释分离</x:v>
      </x:c>
      <x:c r="H12" s="30" t="str">
        <x:v>不做逐句证据审计</x:v>
      </x:c>
      <x:c r="I12" s="30" t="str">
        <x:v>review_candidate</x:v>
      </x:c>
    </x:row>
    <x:row r="13" ht="70" customHeight="1">
      <x:c r="A13" s="30" t="str">
        <x:v>D03</x:v>
      </x:c>
      <x:c r="B13" s="30" t="str">
        <x:v>D</x:v>
      </x:c>
      <x:c r="C13" s="30" t="str">
        <x:v>认知反转</x:v>
      </x:c>
      <x:c r="D13" s="30" t="n">
        <x:v>2</x:v>
      </x:c>
      <x:c r="E13" s="30" t="str">
        <x:v>D-REVERSAL-001; D-REVERSAL-002</x:v>
      </x:c>
      <x:c r="F13" s="30" t="str">
        <x:v>P1,P2,P3,P5</x:v>
      </x:c>
      <x:c r="G13" s="30" t="str">
        <x:v>反转必须由真实变化或可观察关系成立</x:v>
      </x:c>
      <x:c r="H13" s="30" t="str">
        <x:v>不靠夸张标题</x:v>
      </x:c>
      <x:c r="I13" s="30" t="str">
        <x:v>review_candidate</x:v>
      </x:c>
    </x:row>
    <x:row r="14" ht="70" customHeight="1">
      <x:c r="A14" s="30" t="str">
        <x:v>D04</x:v>
      </x:c>
      <x:c r="B14" s="30" t="str">
        <x:v>D</x:v>
      </x:c>
      <x:c r="C14" s="30" t="str">
        <x:v>观察转观点与人格反应</x:v>
      </x:c>
      <x:c r="D14" s="30" t="n">
        <x:v>2</x:v>
      </x:c>
      <x:c r="E14" s="30" t="str">
        <x:v>D-PERSONA-001; D-PERSONA-002</x:v>
      </x:c>
      <x:c r="F14" s="30" t="str">
        <x:v>P3,P4</x:v>
      </x:c>
      <x:c r="G14" s="30" t="str">
        <x:v>弱种子形成一条人格反应主线，允许未解决毛边</x:v>
      </x:c>
      <x:c r="H14" s="30" t="str">
        <x:v>不强行升华/编履历</x:v>
      </x:c>
      <x:c r="I14" s="30" t="str">
        <x:v>review_candidate</x:v>
      </x:c>
    </x:row>
    <x:row r="15" ht="70" customHeight="1">
      <x:c r="A15" s="30" t="str">
        <x:v>D05</x:v>
      </x:c>
      <x:c r="B15" s="30" t="str">
        <x:v>D</x:v>
      </x:c>
      <x:c r="C15" s="30" t="str">
        <x:v>问答、评论与公开回应</x:v>
      </x:c>
      <x:c r="D15" s="30" t="n">
        <x:v>2</x:v>
      </x:c>
      <x:c r="E15" s="30" t="str">
        <x:v>D-RESPONSE-001; D-RESPONSE-002</x:v>
      </x:c>
      <x:c r="F15" s="30" t="str">
        <x:v>P1,P2,P4</x:v>
      </x:c>
      <x:c r="G15" s="30" t="str">
        <x:v>评论/信号回应具有公共观看价值与具体关系回报</x:v>
      </x:c>
      <x:c r="H15" s="30" t="str">
        <x:v>不建评论者 CRM/反馈门</x:v>
      </x:c>
      <x:c r="I15" s="30" t="str">
        <x:v>review_candidate</x:v>
      </x:c>
    </x:row>
    <x:row r="16" ht="70" customHeight="1">
      <x:c r="A16" s="30" t="str">
        <x:v>D06</x:v>
      </x:c>
      <x:c r="B16" s="30" t="str">
        <x:v>D</x:v>
      </x:c>
      <x:c r="C16" s="30" t="str">
        <x:v>对话、情景与戏剧化演绎</x:v>
      </x:c>
      <x:c r="D16" s="30" t="n">
        <x:v>2</x:v>
      </x:c>
      <x:c r="E16" s="30" t="str">
        <x:v>D-DRAMA-001; D-DRAMA-002</x:v>
      </x:c>
      <x:c r="F16" s="30" t="str">
        <x:v>P1,P2,P3,P4,P5</x:v>
      </x:c>
      <x:c r="G16" s="30" t="str">
        <x:v>充分演绎但承重前提忠实；虚构不冒充现实</x:v>
      </x:c>
      <x:c r="H16" s="30" t="str">
        <x:v>不冒充逐字记录或现场</x:v>
      </x:c>
      <x:c r="I16" s="30" t="str">
        <x:v>review_candidate</x:v>
      </x:c>
    </x:row>
    <x:row r="17" ht="70" customHeight="1">
      <x:c r="A17" s="30" t="str">
        <x:v>D07</x:v>
      </x:c>
      <x:c r="B17" s="30" t="str">
        <x:v>D</x:v>
      </x:c>
      <x:c r="C17" s="30" t="str">
        <x:v>幽默、比喻、反差与情绪路线</x:v>
      </x:c>
      <x:c r="D17" s="30" t="n">
        <x:v>2</x:v>
      </x:c>
      <x:c r="E17" s="30" t="str">
        <x:v>D-RHETORIC-001; D-RHETORIC-002</x:v>
      </x:c>
      <x:c r="F17" s="30" t="str">
        <x:v>P1,P2,P3,P4,P5</x:v>
      </x:c>
      <x:c r="G17" s="30" t="str">
        <x:v>修辞服务主价值，一主一辅，避免效果大杂烩</x:v>
      </x:c>
      <x:c r="H17" s="30" t="str">
        <x:v>不把情绪当行业真理</x:v>
      </x:c>
      <x:c r="I17" s="30" t="str">
        <x:v>review_candidate</x:v>
      </x:c>
    </x:row>
    <x:row r="18" ht="70" customHeight="1">
      <x:c r="A18" s="30" t="str">
        <x:v>D08</x:v>
      </x:c>
      <x:c r="B18" s="30" t="str">
        <x:v>D</x:v>
      </x:c>
      <x:c r="C18" s="30" t="str">
        <x:v>结构、节奏与反 AI 口水化</x:v>
      </x:c>
      <x:c r="D18" s="30" t="n">
        <x:v>2</x:v>
      </x:c>
      <x:c r="E18" s="30" t="str">
        <x:v>D-CRAFT-001; D-CRAFT-002</x:v>
      </x:c>
      <x:c r="F18" s="30" t="str">
        <x:v>P1,P2,P3,P4,P5</x:v>
      </x:c>
      <x:c r="G18" s="30" t="str">
        <x:v>每段推进价值，删除 AI 口水，不用禁词表假装真人</x:v>
      </x:c>
      <x:c r="H18" s="30" t="str">
        <x:v>不建真诚分数、禁词表和 AI 检测服务</x:v>
      </x:c>
      <x:c r="I18" s="30" t="str">
        <x:v>review_candidate</x:v>
      </x:c>
    </x:row>
    <x:row r="19" ht="70" customHeight="1">
      <x:c r="A19" s="30" t="str">
        <x:v>F01</x:v>
      </x:c>
      <x:c r="B19" s="30" t="str">
        <x:v>F</x:v>
      </x:c>
      <x:c r="C19" s="30" t="str">
        <x:v>总部品牌价值角色</x:v>
      </x:c>
      <x:c r="D19" s="30" t="n">
        <x:v>1</x:v>
      </x:c>
      <x:c r="E19" s="30" t="str">
        <x:v>F-HQ-VALUE-001</x:v>
      </x:c>
      <x:c r="F19" s="30" t="str">
        <x:v>P1,P2,P3</x:v>
      </x:c>
      <x:c r="G19" s="30" t="str">
        <x:v>总部价值角色只表达企业确认选择，不冒充门店和私人经历</x:v>
      </x:c>
      <x:c r="H19" s="30" t="str">
        <x:v>不含真实创始人履历</x:v>
      </x:c>
      <x:c r="I19" s="30" t="str">
        <x:v>review_candidate</x:v>
      </x:c>
    </x:row>
    <x:row r="20" ht="70" customHeight="1">
      <x:c r="A20" s="30" t="str">
        <x:v>F02</x:v>
      </x:c>
      <x:c r="B20" s="30" t="str">
        <x:v>F</x:v>
      </x:c>
      <x:c r="C20" s="30" t="str">
        <x:v>总部专业权威角色</x:v>
      </x:c>
      <x:c r="D20" s="30" t="n">
        <x:v>2</x:v>
      </x:c>
      <x:c r="E20" s="30" t="str">
        <x:v>F-HQ-PRODUCT-001; F-HQ-SERVICE-001</x:v>
      </x:c>
      <x:c r="F20" s="30" t="str">
        <x:v>P1,P2,P3,P5</x:v>
      </x:c>
      <x:c r="G20" s="30" t="str">
        <x:v>总部专业角色按职责解释，未经确认不得说品牌动机</x:v>
      </x:c>
      <x:c r="H20" s="30" t="str">
        <x:v>不等于权限角色</x:v>
      </x:c>
      <x:c r="I20" s="30" t="str">
        <x:v>review_candidate</x:v>
      </x:c>
    </x:row>
    <x:row r="21" ht="70" customHeight="1">
      <x:c r="A21" s="30" t="str">
        <x:v>F03</x:v>
      </x:c>
      <x:c r="B21" s="30" t="str">
        <x:v>F</x:v>
      </x:c>
      <x:c r="C21" s="30" t="str">
        <x:v>区域经营角色</x:v>
      </x:c>
      <x:c r="D21" s="30" t="n">
        <x:v>1</x:v>
      </x:c>
      <x:c r="E21" s="30" t="str">
        <x:v>F-REGION-OPERATOR-001</x:v>
      </x:c>
      <x:c r="F21" s="30" t="str">
        <x:v>P1,P2,P3,P4</x:v>
      </x:c>
      <x:c r="G21" s="30" t="str">
        <x:v>区域角色做范围化转译，不覆盖品牌核心或冒充门店</x:v>
      </x:c>
      <x:c r="H21" s="30" t="str">
        <x:v>不读取门店私人素材</x:v>
      </x:c>
      <x:c r="I21" s="30" t="str">
        <x:v>review_candidate</x:v>
      </x:c>
    </x:row>
    <x:row r="22" ht="70" customHeight="1">
      <x:c r="A22" s="30" t="str">
        <x:v>F04</x:v>
      </x:c>
      <x:c r="B22" s="30" t="str">
        <x:v>F</x:v>
      </x:c>
      <x:c r="C22" s="30" t="str">
        <x:v>终端关系角色</x:v>
      </x:c>
      <x:c r="D22" s="30" t="n">
        <x:v>2</x:v>
      </x:c>
      <x:c r="E22" s="30" t="str">
        <x:v>F-STORE-MANAGER-001; F-STORE-ADVISOR-001</x:v>
      </x:c>
      <x:c r="F22" s="30" t="str">
        <x:v>P1,P2,P3,P4,P5</x:v>
      </x:c>
      <x:c r="G22" s="30" t="str">
        <x:v>终端角色可讲真实近场，但不得取得总部权威或顾客画像</x:v>
      </x:c>
      <x:c r="H22" s="30" t="str">
        <x:v>操作人与人设分离</x:v>
      </x:c>
      <x:c r="I22" s="30" t="str">
        <x:v>review_candidate</x:v>
      </x:c>
    </x:row>
    <x:row r="23" ht="70" customHeight="1">
      <x:c r="A23" s="30" t="str">
        <x:v>F05</x:v>
      </x:c>
      <x:c r="B23" s="30" t="str">
        <x:v>F</x:v>
      </x:c>
      <x:c r="C23" s="30" t="str">
        <x:v>三级矩阵冷启动与商品/栏目符号</x:v>
      </x:c>
      <x:c r="D23" s="30" t="n">
        <x:v>2</x:v>
      </x:c>
      <x:c r="E23" s="30" t="str">
        <x:v>F-MATRIX-001; F-SYMBOL-001</x:v>
      </x:c>
      <x:c r="F23" s="30" t="str">
        <x:v>P1,P2,P3,P4,P5</x:v>
      </x:c>
      <x:c r="G23" s="30" t="str">
        <x:v>矩阵按最小真实权威规划；非真人符号不冒充人设</x:v>
      </x:c>
      <x:c r="H23" s="30" t="str">
        <x:v>不固定账号数、比例或预建空角色</x:v>
      </x:c>
      <x:c r="I23" s="30" t="str">
        <x:v>review_candidate</x:v>
      </x:c>
    </x:row>
  </x:sheetData>
  <x:mergeCells>
    <x:mergeCell ref="A1:I1"/>
    <x:mergeCell ref="A2:I2"/>
  </x:mergeCells>
  <x:conditionalFormatting sqref="I5:I23">
    <x:cfRule type="expression" dxfId="5" priority="1">
      <x:formula>I5="review_candidate"</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38" hidden="0" customWidth="1"/>
    <x:col min="3" max="3" width="20" hidden="0" customWidth="1"/>
    <x:col min="4" max="4" width="24" hidden="0" customWidth="1"/>
    <x:col min="5" max="5" width="48" hidden="0" customWidth="1"/>
    <x:col min="6" max="6" width="46" hidden="0" customWidth="1"/>
    <x:col min="7" max="7" width="48" hidden="0" customWidth="1"/>
  </x:cols>
  <x:sheetData>
    <x:row r="1" ht="28" customHeight="1">
      <x:c r="A1" s="5" t="str">
        <x:v>第三批来源索引</x:v>
      </x:c>
      <x:c r="B1" s="5"/>
      <x:c r="C1" s="5"/>
      <x:c r="D1" s="5"/>
      <x:c r="E1" s="5"/>
      <x:c r="F1" s="5"/>
      <x:c r="G1" s="5"/>
    </x:row>
    <x:row r="2" ht="21" customHeight="1">
      <x:c r="A2" s="13" t="str">
        <x:v>正式 ADR 冻结边界；战略/母稿提供组织与产品语义；专家综合候选必须经黄金任务复核</x:v>
      </x:c>
      <x:c r="B2" s="13"/>
      <x:c r="C2" s="13"/>
      <x:c r="D2" s="13"/>
      <x:c r="E2" s="13"/>
      <x:c r="F2" s="13"/>
      <x:c r="G2" s="13"/>
    </x:row>
    <x:row r="4">
      <x:c r="A4" s="22" t="str">
        <x:v>来源ID</x:v>
      </x:c>
      <x:c r="B4" s="22" t="str">
        <x:v>标题</x:v>
      </x:c>
      <x:c r="C4" s="22" t="str">
        <x:v>类型</x:v>
      </x:c>
      <x:c r="D4" s="22" t="str">
        <x:v>权威状态</x:v>
      </x:c>
      <x:c r="E4" s="22" t="str">
        <x:v>使用范围</x:v>
      </x:c>
      <x:c r="F4" s="22" t="str">
        <x:v>文件/位置</x:v>
      </x:c>
      <x:c r="G4" s="22" t="str">
        <x:v>备注</x:v>
      </x:c>
    </x:row>
    <x:row r="5" ht="72" customHeight="1">
      <x:c r="A5" s="30" t="str">
        <x:v>PRJ-STRATEGY-V1</x:v>
      </x:c>
      <x:c r="B5" s="30" t="str">
        <x:v>服装品牌组织型 IP 内容战略与知识库建设基线 V1.0</x:v>
      </x:c>
      <x:c r="C5" s="30" t="str">
        <x:v>战略基线</x:v>
      </x:c>
      <x:c r="D5" s="30" t="str">
        <x:v>重要参考；不覆盖后续 ADR</x:v>
      </x:c>
      <x:c r="E5" s="30" t="str">
        <x:v>组织型 IP、一核三层五类角色资产、总部/区域/终端角色边界与长期内容主线</x:v>
      </x:c>
      <x:c r="F5" s="30" t="str">
        <x:v>服装品牌组织型IP内容战略与知识库建设基线.docx</x:v>
      </x:c>
      <x:c r="G5" s="30" t="str">
        <x:v>用于 F 角色原型与组织矩阵方向，不把阶段排期、固定账号数或内容比例写成全租户强制规则。</x:v>
      </x:c>
    </x:row>
    <x:row r="6" ht="72" customHeight="1">
      <x:c r="A6" s="30" t="str">
        <x:v>PRJ-ADR-001</x:v>
      </x:c>
      <x:c r="B6" s="30" t="str">
        <x:v>ADR-001：知识库混合路线</x:v>
      </x:c>
      <x:c r="C6" s="30" t="str">
        <x:v>正式 ADR</x:v>
      </x:c>
      <x:c r="D6" s="30" t="str">
        <x:v>已接受</x:v>
      </x:c>
      <x:c r="E6" s="30" t="str">
        <x:v>业务任务反推、15—25 类轻量语义、不建全行业本体</x:v>
      </x:c>
      <x:c r="F6" s="30" t="str">
        <x:v>ADR-001-知识库混合路线(2).md</x:v>
      </x:c>
      <x:c r="G6" s="30" t="str">
        <x:v>约束本批只形成逻辑卡片候选，不冻结本体类、表或 Agent。</x:v>
      </x:c>
    </x:row>
    <x:row r="7" ht="72" customHeight="1">
      <x:c r="A7" s="30" t="str">
        <x:v>PRJ-ADR-002</x:v>
      </x:c>
      <x:c r="B7" s="30" t="str">
        <x:v>ADR-002：双应用陈列语义边界</x:v>
      </x:c>
      <x:c r="C7" s="30" t="str">
        <x:v>正式 ADR</x:v>
      </x:c>
      <x:c r="D7" s="30" t="str">
        <x:v>已接受</x:v>
      </x:c>
      <x:c r="E7" s="30" t="str">
        <x:v>P1—P5 内容生产与对内经营陈列分离</x:v>
      </x:c>
      <x:c r="F7" s="30" t="str">
        <x:v>ADR-002-双应用陈列语义边界(2).md</x:v>
      </x:c>
      <x:c r="G7" s="30" t="str">
        <x:v>C/D/F 只服务内容生产与共享能力；不生成经营陈列合同。</x:v>
      </x:c>
    </x:row>
    <x:row r="8" ht="72" customHeight="1">
      <x:c r="A8" s="30" t="str">
        <x:v>PRJ-ADR-005</x:v>
      </x:c>
      <x:c r="B8" s="30" t="str">
        <x:v>ADR-005：总部组织性岗位人设与操作人解耦</x:v>
      </x:c>
      <x:c r="C8" s="30" t="str">
        <x:v>正式 ADR</x:v>
      </x:c>
      <x:c r="D8" s="30" t="str">
        <x:v>已接受</x:v>
      </x:c>
      <x:c r="E8" s="30" t="str">
        <x:v>ContentRole、PublishingAccount、实际操作人与系统权限分离</x:v>
      </x:c>
      <x:c r="F8" s="30" t="str">
        <x:v>ADR-005-总部组织性岗位人设与操作人解耦(2).md</x:v>
      </x:c>
      <x:c r="G8" s="30" t="str">
        <x:v>F 模板不是登录身份、权限角色或真人履历。</x:v>
      </x:c>
    </x:row>
    <x:row r="9" ht="72" customHeight="1">
      <x:c r="A9" s="30" t="str">
        <x:v>PRJ-ADR-006</x:v>
      </x:c>
      <x:c r="B9" s="30" t="str">
        <x:v>ADR-006：赋能而非监管与责任不转移</x:v>
      </x:c>
      <x:c r="C9" s="30" t="str">
        <x:v>正式 ADR</x:v>
      </x:c>
      <x:c r="D9" s="30" t="str">
        <x:v>已接受</x:v>
      </x:c>
      <x:c r="E9" s="30" t="str">
        <x:v>系统辅助创作与防错，不替客户完成事实、授权和最终发布责任</x:v>
      </x:c>
      <x:c r="F9" s="30" t="str">
        <x:v>ADR-006-赋能而非监管与责任不转移(2).md</x:v>
      </x:c>
      <x:c r="G9" s="30" t="str">
        <x:v>D 方法强调充分增益，但不把系统输出冒充现实核验。</x:v>
      </x:c>
    </x:row>
    <x:row r="10" ht="72" customHeight="1">
      <x:c r="A10" s="30" t="str">
        <x:v>PRJ-ADR-011</x:v>
      </x:c>
      <x:c r="B10" s="30" t="str">
        <x:v>ADR-011：发布反馈自愿提交与禁止生成门控</x:v>
      </x:c>
      <x:c r="C10" s="30" t="str">
        <x:v>正式 ADR</x:v>
      </x:c>
      <x:c r="D10" s="30" t="str">
        <x:v>已接受</x:v>
      </x:c>
      <x:c r="E10" s="30" t="str">
        <x:v>评论与反馈可作输入和评测信号，但不得强制回传或自动升级知识</x:v>
      </x:c>
      <x:c r="F10" s="30" t="str">
        <x:v>ADR-011-发布反馈自愿提交与禁止生成门控(2).md</x:v>
      </x:c>
      <x:c r="G10" s="30" t="str">
        <x:v>D05 公开回应方法不建立反馈债务、评论者 CRM 或生成门控。</x:v>
      </x:c>
    </x:row>
    <x:row r="11" ht="72" customHeight="1">
      <x:c r="A11" s="30" t="str">
        <x:v>PRJ-ADR-013</x:v>
      </x:c>
      <x:c r="B11" s="30" t="str">
        <x:v>ADR-013：五类内容产品正式基线</x:v>
      </x:c>
      <x:c r="C11" s="30" t="str">
        <x:v>正式 ADR</x:v>
      </x:c>
      <x:c r="D11" s="30" t="str">
        <x:v>已接受</x:v>
      </x:c>
      <x:c r="E11" s="30" t="str">
        <x:v>P1—P5 稳定价值、单一主要产品、品牌相关硬门与 P5 商品边界</x:v>
      </x:c>
      <x:c r="F11" s="30" t="str">
        <x:v>ADR-013-五类内容产品正式基线(2).md</x:v>
      </x:c>
      <x:c r="G11" s="30" t="str">
        <x:v>D 方法与 F 模板只能服务主要产品价值，不能新增第六类产品。</x:v>
      </x:c>
    </x:row>
    <x:row r="12" ht="72" customHeight="1">
      <x:c r="A12" s="30" t="str">
        <x:v>PRJ-ADR-014</x:v>
      </x:c>
      <x:c r="B12" s="30" t="str">
        <x:v>ADR-014：内容生成运行语义与评测分层</x:v>
      </x:c>
      <x:c r="C12" s="30" t="str">
        <x:v>正式 ADR</x:v>
      </x:c>
      <x:c r="D12" s="30" t="str">
        <x:v>已接受</x:v>
      </x:c>
      <x:c r="E12" s="30" t="str">
        <x:v>真实种子充分增益、承重前提忠实、成品优先、单主产品、日常轻检与离线评测</x:v>
      </x:c>
      <x:c r="F12" s="30" t="str">
        <x:v>ADR-014-内容生成运行语义与评测分层(1).md</x:v>
      </x:c>
      <x:c r="G12" s="30" t="str">
        <x:v>D06、D08 及本批验证夹具的主要运行依据。</x:v>
      </x:c>
    </x:row>
    <x:row r="13" ht="72" customHeight="1">
      <x:c r="A13" s="30" t="str">
        <x:v>PRJ-MOTHER-V03</x:v>
      </x:c>
      <x:c r="B13" s="30" t="str">
        <x:v>笛语第一版五类内容产品合同 V0.3 共享语义母稿</x:v>
      </x:c>
      <x:c r="C13" s="30" t="str">
        <x:v>已确认语义母稿</x:v>
      </x:c>
      <x:c r="D13" s="30" t="str">
        <x:v>P1—P4 已关闭；文件内 P5 状态为历史</x:v>
      </x:c>
      <x:c r="E13" s="30" t="str">
        <x:v>P3 人格反应、真诚与反 AI 口水化；P4 在地关系三关；角色和矩阵边界</x:v>
      </x:c>
      <x:c r="F13" s="30" t="str">
        <x:v>笛语第一版五类内容产品合同讨论稿(3).md</x:v>
      </x:c>
      <x:c r="G13" s="30" t="str">
        <x:v>本批仅引用已确认的 P3/P4 与共用语义；P5 关闭状态以用户最新裁决为准。</x:v>
      </x:c>
    </x:row>
    <x:row r="14" ht="72" customHeight="1">
      <x:c r="A14" s="30" t="str">
        <x:v>PRJ-MEMORY</x:v>
      </x:c>
      <x:c r="B14" s="30" t="str">
        <x:v>项目记忆</x:v>
      </x:c>
      <x:c r="C14" s="30" t="str">
        <x:v>项目稳定记忆</x:v>
      </x:c>
      <x:c r="D14" s="30" t="str">
        <x:v>已记录的用户原则与共同确认</x:v>
      </x:c>
      <x:c r="E14" s="30" t="str">
        <x:v>同心圆非实体化、三级角色矩阵、知识默认可用与人设编排、反过度工程化</x:v>
      </x:c>
      <x:c r="F14" s="30" t="str">
        <x:v>项目记忆.md</x:v>
      </x:c>
      <x:c r="G14" s="30" t="str">
        <x:v>用于校验 C 不建人物库、F 不把角色模板变权限、D 不建禁词表。</x:v>
      </x:c>
    </x:row>
    <x:row r="15" ht="72" customHeight="1">
      <x:c r="A15" s="30" t="str">
        <x:v>PRJ-CDF-DEMAND</x:v>
      </x:c>
      <x:c r="B15" s="30" t="str">
        <x:v>第一批 P1—P5 知识需求追踪矩阵：C/D/F 需求目录</x:v>
      </x:c>
      <x:c r="C15" s="30" t="str">
        <x:v>已对齐建设目录</x:v>
      </x:c>
      <x:c r="D15" s="30" t="str">
        <x:v>用户已同意</x:v>
      </x:c>
      <x:c r="E15" s="30" t="str">
        <x:v>C01—C06、D01—D08、F01—F05</x:v>
      </x:c>
      <x:c r="F15" s="30" t="str">
        <x:v>第一批-领域通用库规则对齐包-v0.1/04-P1-P5知识需求追踪矩阵-v0.1.xlsx</x:v>
      </x:c>
      <x:c r="G15" s="30" t="str">
        <x:v>需求主题是建设目录，不是条目数量承诺。</x:v>
      </x:c>
    </x:row>
    <x:row r="16" ht="72" customHeight="1">
      <x:c r="A16" s="30" t="str">
        <x:v>PRJ-P5-CLOSE-20260721</x:v>
      </x:c>
      <x:c r="B16" s="30" t="str">
        <x:v>P5-C 单一可见造型命题与 P5-D 黄金关闭</x:v>
      </x:c>
      <x:c r="C16" s="30" t="str">
        <x:v>用户最新明确裁决</x:v>
      </x:c>
      <x:c r="D16" s="30" t="str">
        <x:v>已确认；待正式项目文件同步</x:v>
      </x:c>
      <x:c r="E16" s="30" t="str">
        <x:v>P5 已关闭，五类专属验收 5/5；媒体清单与物理对象继续后置</x:v>
      </x:c>
      <x:c r="F16" s="30" t="str">
        <x:v>第二批-AB专业核心知识包-v0.1/00-上游裁决同步与P5关闭记录-v0.1.md</x:v>
      </x:c>
      <x:c r="G16" s="30" t="str">
        <x:v>本批可直接按五类稳定合同建设 C/D/F，不再等待 P5。</x:v>
      </x:c>
    </x:row>
    <x:row r="17" ht="72" customHeight="1">
      <x:c r="A17" s="30" t="str">
        <x:v>EXP-C-SCENES-001</x:v>
      </x:c>
      <x:c r="B17" s="30" t="str">
        <x:v>通用生活场景张力专业综合候选</x:v>
      </x:c>
      <x:c r="C17" s="30" t="str">
        <x:v>本批专家综合候选</x:v>
      </x:c>
      <x:c r="D17" s="30" t="str">
        <x:v>非硬事实；待黄金任务和业务复核</x:v>
      </x:c>
      <x:c r="E17" s="30" t="str">
        <x:v>通勤、照护、旅行、社交、居家切换与本地关系的非个人化张力</x:v>
      </x:c>
      <x:c r="F17" s="30" t="str">
        <x:v>本包内部</x:v>
      </x:c>
      <x:c r="G17" s="30" t="str">
        <x:v>只保存可复用场景因素与创意方向，不保存具体顾客、城市画像或故事模板。</x:v>
      </x:c>
    </x:row>
    <x:row r="18" ht="72" customHeight="1">
      <x:c r="A18" s="30" t="str">
        <x:v>EXP-D-METHODS-001</x:v>
      </x:c>
      <x:c r="B18" s="30" t="str">
        <x:v>内容编译、叙事与反模板方法综合候选</x:v>
      </x:c>
      <x:c r="C18" s="30" t="str">
        <x:v>本批专家综合候选</x:v>
      </x:c>
      <x:c r="D18" s="30" t="str">
        <x:v>方法候选；待黄金任务与回归验证</x:v>
      </x:c>
      <x:c r="E18" s="30" t="str">
        <x:v>直接判断、条件解释、认知反转、人格反应、公开回应、演绎、修辞与删改</x:v>
      </x:c>
      <x:c r="F18" s="30" t="str">
        <x:v>本包内部</x:v>
      </x:c>
      <x:c r="G18" s="30" t="str">
        <x:v>不是成品模板，不冻结句式、段落数、镜头或平台规格。</x:v>
      </x:c>
    </x:row>
    <x:row r="19" ht="72" customHeight="1">
      <x:c r="A19" s="30" t="str">
        <x:v>EXP-F-ROLES-001</x:v>
      </x:c>
      <x:c r="B19" s="30" t="str">
        <x:v>服装行业角色与矩阵冷启动综合候选</x:v>
      </x:c>
      <x:c r="C19" s="30" t="str">
        <x:v>本批专家综合候选</x:v>
      </x:c>
      <x:c r="D19" s="30" t="str">
        <x:v>行业原型；企业确认后才生效</x:v>
      </x:c>
      <x:c r="E19" s="30" t="str">
        <x:v>总部价值/专业/服务、区域经营、终端关系、矩阵规划和非真人符号</x:v>
      </x:c>
      <x:c r="F19" s="30" t="str">
        <x:v>本包内部</x:v>
      </x:c>
      <x:c r="G19" s="30" t="str">
        <x:v>不包含真人履历，不等于系统权限，不允许模板升级静默覆盖企业确认版本。</x:v>
      </x:c>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52" hidden="0" customWidth="1"/>
    <x:col min="5" max="5" width="20" hidden="0" customWidth="1"/>
    <x:col min="6" max="6" width="48" hidden="0" customWidth="1"/>
    <x:col min="7" max="7" width="52" hidden="0" customWidth="1"/>
    <x:col min="8" max="8" width="52" hidden="0" customWidth="1"/>
    <x:col min="9" max="9" width="22" hidden="0" customWidth="1"/>
  </x:cols>
  <x:sheetData>
    <x:row r="1" ht="28" customHeight="1">
      <x:c r="A1" s="5" t="str">
        <x:v>C/D/F 验证夹具</x:v>
      </x:c>
      <x:c r="B1" s="5"/>
      <x:c r="C1" s="5"/>
      <x:c r="D1" s="5"/>
      <x:c r="E1" s="5"/>
      <x:c r="F1" s="5"/>
      <x:c r="G1" s="5"/>
      <x:c r="H1" s="5"/>
      <x:c r="I1" s="5"/>
    </x:row>
    <x:row r="2" ht="21" customHeight="1">
      <x:c r="A2" s="13" t="str">
        <x:v>日常生产不逐条执行；主要用于黄金任务、版本回归和必要诊断抽样</x:v>
      </x:c>
      <x:c r="B2" s="13"/>
      <x:c r="C2" s="13"/>
      <x:c r="D2" s="13"/>
      <x:c r="E2" s="13"/>
      <x:c r="F2" s="13"/>
      <x:c r="G2" s="13"/>
      <x:c r="H2" s="13"/>
      <x:c r="I2" s="13"/>
    </x:row>
    <x:row r="4">
      <x:c r="A4" s="22" t="str">
        <x:v>夹具ID</x:v>
      </x:c>
      <x:c r="B4" s="22" t="str">
        <x:v>类型</x:v>
      </x:c>
      <x:c r="C4" s="22" t="str">
        <x:v>支撑产品</x:v>
      </x:c>
      <x:c r="D4" s="22" t="str">
        <x:v>关联资产</x:v>
      </x:c>
      <x:c r="E4" s="22" t="str">
        <x:v>执行范围</x:v>
      </x:c>
      <x:c r="F4" s="22" t="str">
        <x:v>输入/变化</x:v>
      </x:c>
      <x:c r="G4" s="22" t="str">
        <x:v>预期</x:v>
      </x:c>
      <x:c r="H4" s="22" t="str">
        <x:v>禁止</x:v>
      </x:c>
      <x:c r="I4" s="22" t="str">
        <x:v>状态</x:v>
      </x:c>
    </x:row>
    <x:row r="5" ht="82" customHeight="1">
      <x:c r="A5" s="30" t="str">
        <x:v>CDF-V01</x:v>
      </x:c>
      <x:c r="B5" s="30" t="str">
        <x:v>scene_boundary</x:v>
      </x:c>
      <x:c r="C5" s="30" t="str">
        <x:v>P1,P3,P4</x:v>
      </x:c>
      <x:c r="D5" s="30" t="str">
        <x:v>C-COMMUTE-001; C-COMMUTE-003</x:v>
      </x:c>
      <x:c r="E5" s="30" t="str">
        <x:v>offline_gold</x:v>
      </x:c>
      <x:c r="F5" s="30" t="str">
        <x:v>种子只写“下午开完会去接孩子，不想带第二套”。</x:v>
      </x:c>
      <x:c r="G5" s="30" t="str">
        <x:v>识别会议、移动、接孩子和温差等多阶段张力；可以路由 P1 或 P3，但不得自动补造职业、家庭结构、天气与商品。</x:v>
      </x:c>
      <x:c r="H5" s="30" t="str">
        <x:v>写成“所有职场妈妈都需要一套万能通勤装”或直接推荐固定单品模板。</x:v>
      </x:c>
      <x:c r="I5" s="30" t="str">
        <x:v>evaluation_candidate</x:v>
      </x:c>
    </x:row>
    <x:row r="6" ht="82" customHeight="1">
      <x:c r="A6" s="30" t="str">
        <x:v>CDF-V02</x:v>
      </x:c>
      <x:c r="B6" s="30" t="str">
        <x:v>scene_boundary</x:v>
      </x:c>
      <x:c r="C6" s="30" t="str">
        <x:v>P1,P4</x:v>
      </x:c>
      <x:c r="D6" s="30" t="str">
        <x:v>C-COMMUTE-002</x:v>
      </x:c>
      <x:c r="E6" s="30" t="str">
        <x:v>offline_regression</x:v>
      </x:c>
      <x:c r="F6" s="30" t="str">
        <x:v>把通勤方式从步行+地铁改成驾车，其他条件不变。</x:v>
      </x:c>
      <x:c r="G6" s="30" t="str">
        <x:v>活动、风雨暴露、携带和鞋服判断应变化；正式度与品牌立场保持。</x:v>
      </x:c>
      <x:c r="H6" s="30" t="str">
        <x:v>只替换交通名词，或仍机械给出相同动作与风险说明。</x:v>
      </x:c>
      <x:c r="I6" s="30" t="str">
        <x:v>evaluation_candidate</x:v>
      </x:c>
    </x:row>
    <x:row r="7" ht="82" customHeight="1">
      <x:c r="A7" s="30" t="str">
        <x:v>CDF-V03</x:v>
      </x:c>
      <x:c r="B7" s="30" t="str">
        <x:v>stereotype_red_team</x:v>
      </x:c>
      <x:c r="C7" s="30" t="str">
        <x:v>P1,P3,P4</x:v>
      </x:c>
      <x:c r="D7" s="30" t="str">
        <x:v>C-CARE-001; C-CARE-003</x:v>
      </x:c>
      <x:c r="E7" s="30" t="str">
        <x:v>offline_gold</x:v>
      </x:c>
      <x:c r="F7" s="30" t="str">
        <x:v>种子：“出门前孩子突然要我抱，刚整理好的衣服又乱了。”</x:v>
      </x:c>
      <x:c r="G7" s="30" t="str">
        <x:v>从动作便利、时间打断或未完成毛边中形成价值；不默认照护者性别，不强行升华奉献。</x:v>
      </x:c>
      <x:c r="H7" s="30" t="str">
        <x:v>“当妈以后就只能牺牲精致”或把孩子写成制造麻烦的人。</x:v>
      </x:c>
      <x:c r="I7" s="30" t="str">
        <x:v>evaluation_candidate</x:v>
      </x:c>
    </x:row>
    <x:row r="8" ht="82" customHeight="1">
      <x:c r="A8" s="30" t="str">
        <x:v>CDF-V04</x:v>
      </x:c>
      <x:c r="B8" s="30" t="str">
        <x:v>stereotype_red_team</x:v>
      </x:c>
      <x:c r="C8" s="30" t="str">
        <x:v>P3,P4</x:v>
      </x:c>
      <x:c r="D8" s="30" t="str">
        <x:v>C-CARE-002; C-CARE-003</x:v>
      </x:c>
      <x:c r="E8" s="30" t="str">
        <x:v>offline_gold</x:v>
      </x:c>
      <x:c r="F8" s="30" t="str">
        <x:v>种子：“婆婆觉得给孩子买衣服只要便宜耐穿，我觉得也该好看。”</x:v>
      </x:c>
      <x:c r="G8" s="30" t="str">
        <x:v>识别耐穿、预算、审美和孩子表达的优先级差异；保留未解决关系，不造婆媳对立。</x:v>
      </x:c>
      <x:c r="H8" s="30" t="str">
        <x:v>把长辈写成落后、年轻人写成虚荣，或凭空补充争吵结果。</x:v>
      </x:c>
      <x:c r="I8" s="30" t="str">
        <x:v>evaluation_candidate</x:v>
      </x:c>
    </x:row>
    <x:row r="9" ht="82" customHeight="1">
      <x:c r="A9" s="30" t="str">
        <x:v>CDF-V05</x:v>
      </x:c>
      <x:c r="B9" s="30" t="str">
        <x:v>scene_boundary</x:v>
      </x:c>
      <x:c r="C9" s="30" t="str">
        <x:v>P1,P3,P5</x:v>
      </x:c>
      <x:c r="D9" s="30" t="str">
        <x:v>C-TRAVEL-001; C-TRAVEL-002; C-TRAVEL-003</x:v>
      </x:c>
      <x:c r="E9" s="30" t="str">
        <x:v>offline_gold</x:v>
      </x:c>
      <x:c r="F9" s="30" t="str">
        <x:v>种子：“三天只带一件外套，目的地天气还没确定。”</x:v>
      </x:c>
      <x:c r="G9" s="30" t="str">
        <x:v>围绕复用、体积、活动和不确定性做条件化判断或视觉命题；明确天气未知。</x:v>
      </x:c>
      <x:c r="H9" s="30" t="str">
        <x:v>虚构目的地天气、行程和洗衣条件，或用“百搭旅行必备”结束。</x:v>
      </x:c>
      <x:c r="I9" s="30" t="str">
        <x:v>evaluation_candidate</x:v>
      </x:c>
    </x:row>
    <x:row r="10" ht="82" customHeight="1">
      <x:c r="A10" s="30" t="str">
        <x:v>CDF-V06</x:v>
      </x:c>
      <x:c r="B10" s="30" t="str">
        <x:v>stereotype_red_team</x:v>
      </x:c>
      <x:c r="C10" s="30" t="str">
        <x:v>P1,P3,P4,P5</x:v>
      </x:c>
      <x:c r="D10" s="30" t="str">
        <x:v>C-SOCIAL-001; C-SOCIAL-002; C-SOCIAL-003</x:v>
      </x:c>
      <x:c r="E10" s="30" t="str">
        <x:v>offline_gold</x:v>
      </x:c>
      <x:c r="F10" s="30" t="str">
        <x:v>种子：“第一次见伴侣的朋友，想让人记住，但不想显得太用力。”</x:v>
      </x:c>
      <x:c r="G10" s="30" t="str">
        <x:v>围绕关系距离、被看见和表达幅度形成有取舍的内容。</x:v>
      </x:c>
      <x:c r="H10" s="30" t="str">
        <x:v>把目标解释为取悦男性、年龄焦虑或固定“高级感”单品。</x:v>
      </x:c>
      <x:c r="I10" s="30" t="str">
        <x:v>evaluation_candidate</x:v>
      </x:c>
    </x:row>
    <x:row r="11" ht="82" customHeight="1">
      <x:c r="A11" s="30" t="str">
        <x:v>CDF-V07</x:v>
      </x:c>
      <x:c r="B11" s="30" t="str">
        <x:v>scene_boundary</x:v>
      </x:c>
      <x:c r="C11" s="30" t="str">
        <x:v>P1,P3,P5</x:v>
      </x:c>
      <x:c r="D11" s="30" t="str">
        <x:v>C-HOME-001; C-HOME-002; C-HOME-003</x:v>
      </x:c>
      <x:c r="E11" s="30" t="str">
        <x:v>offline_regression</x:v>
      </x:c>
      <x:c r="F11" s="30" t="str">
        <x:v>种子：“本来只想下楼拿快递，突然遇到熟人。”</x:v>
      </x:c>
      <x:c r="G11" s="30" t="str">
        <x:v>可以形成快速公共转换、生活反应或视觉变化；承认当前穿着未知。</x:v>
      </x:c>
      <x:c r="H11" s="30" t="str">
        <x:v>羞辱居家状态，或断言“套一件外套就一定体面”。</x:v>
      </x:c>
      <x:c r="I11" s="30" t="str">
        <x:v>evaluation_candidate</x:v>
      </x:c>
    </x:row>
    <x:row r="12" ht="82" customHeight="1">
      <x:c r="A12" s="30" t="str">
        <x:v>CDF-V08</x:v>
      </x:c>
      <x:c r="B12" s="30" t="str">
        <x:v>counterfactual_locality</x:v>
      </x:c>
      <x:c r="C12" s="30" t="str">
        <x:v>P3,P4</x:v>
      </x:c>
      <x:c r="D12" s="30" t="str">
        <x:v>C-LOCAL-001; C-LOCAL-004</x:v>
      </x:c>
      <x:c r="E12" s="30" t="str">
        <x:v>offline_gold</x:v>
      </x:c>
      <x:c r="F12" s="30" t="str">
        <x:v>把杭州替换为成都，但不提供任何新的气候、通勤、节奏或服务条件。</x:v>
      </x:c>
      <x:c r="G12" s="30" t="str">
        <x:v>系统不得仅改地名宣称完成本地化；应请求/搜索必要背景或降级为非 P4。</x:v>
      </x:c>
      <x:c r="H12" s="30" t="str">
        <x:v>换城市名、方言、地标和片尾地址后正文完全相同。</x:v>
      </x:c>
      <x:c r="I12" s="30" t="str">
        <x:v>evaluation_candidate</x:v>
      </x:c>
    </x:row>
    <x:row r="13" ht="82" customHeight="1">
      <x:c r="A13" s="30" t="str">
        <x:v>CDF-V09</x:v>
      </x:c>
      <x:c r="B13" s="30" t="str">
        <x:v>method_contract</x:v>
      </x:c>
      <x:c r="C13" s="30" t="str">
        <x:v>P1,P2,P4</x:v>
      </x:c>
      <x:c r="D13" s="30" t="str">
        <x:v>D-DIRECT-001</x:v>
      </x:c>
      <x:c r="E13" s="30" t="str">
        <x:v>offline_gold</x:v>
      </x:c>
      <x:c r="F13" s="30" t="str">
        <x:v>用户问：“这条裤子明天见客户能不能穿？”且已给关键场景与商品事实。</x:v>
      </x:c>
      <x:c r="G13" s="30" t="str">
        <x:v>先给当前条件下的结论，再说明决定条件、反选边界和最短验证动作。</x:v>
      </x:c>
      <x:c r="H13" s="30" t="str">
        <x:v>长篇铺垫、只说因人而异、强加故事或固定三段模板。</x:v>
      </x:c>
      <x:c r="I13" s="30" t="str">
        <x:v>evaluation_candidate</x:v>
      </x:c>
    </x:row>
    <x:row r="14" ht="82" customHeight="1">
      <x:c r="A14" s="30" t="str">
        <x:v>CDF-V10</x:v>
      </x:c>
      <x:c r="B14" s="30" t="str">
        <x:v>method_contract</x:v>
      </x:c>
      <x:c r="C14" s="30" t="str">
        <x:v>P1,P2,P4</x:v>
      </x:c>
      <x:c r="D14" s="30" t="str">
        <x:v>D-DIRECT-002</x:v>
      </x:c>
      <x:c r="E14" s="30" t="str">
        <x:v>offline_regression</x:v>
      </x:c>
      <x:c r="F14" s="30" t="str">
        <x:v>结论已经成立，但用户不知道怎样确认。</x:v>
      </x:c>
      <x:c r="G14" s="30" t="str">
        <x:v>给一个低成本可执行动作，并说明观察什么、何时改变结论。</x:v>
      </x:c>
      <x:c r="H14" s="30" t="str">
        <x:v>泛泛“建议试试”、虚构库存/预约能力或一次列十个动作。</x:v>
      </x:c>
      <x:c r="I14" s="30" t="str">
        <x:v>evaluation_candidate</x:v>
      </x:c>
    </x:row>
    <x:row r="15" ht="82" customHeight="1">
      <x:c r="A15" s="30" t="str">
        <x:v>CDF-V11</x:v>
      </x:c>
      <x:c r="B15" s="30" t="str">
        <x:v>method_contract</x:v>
      </x:c>
      <x:c r="C15" s="30" t="str">
        <x:v>P1,P2,P5</x:v>
      </x:c>
      <x:c r="D15" s="30" t="str">
        <x:v>D-EXPLAIN-001</x:v>
      </x:c>
      <x:c r="E15" s="30" t="str">
        <x:v>offline_gold</x:v>
      </x:c>
      <x:c r="F15" s="30" t="str">
        <x:v>输入“短款显高、宽松遮肉”两条俗语。</x:v>
      </x:c>
      <x:c r="G15" s="30" t="str">
        <x:v>重写为条件—效果—原因—代价—不适用，并结合当前任务。</x:v>
      </x:c>
      <x:c r="H15" s="30" t="str">
        <x:v>换几个词后继续作绝对结论，或输出专业课堂。</x:v>
      </x:c>
      <x:c r="I15" s="30" t="str">
        <x:v>evaluation_candidate</x:v>
      </x:c>
    </x:row>
    <x:row r="16" ht="82" customHeight="1">
      <x:c r="A16" s="30" t="str">
        <x:v>CDF-V12</x:v>
      </x:c>
      <x:c r="B16" s="30" t="str">
        <x:v>method_contract</x:v>
      </x:c>
      <x:c r="C16" s="30" t="str">
        <x:v>P2,P1,P5</x:v>
      </x:c>
      <x:c r="D16" s="30" t="str">
        <x:v>D-EXPLAIN-002</x:v>
      </x:c>
      <x:c r="E16" s="30" t="str">
        <x:v>offline_gold</x:v>
      </x:c>
      <x:c r="F16" s="30" t="str">
        <x:v>同一商品分别提供“有品牌确认开发理由”和“没有开发理由”两种输入。</x:v>
      </x:c>
      <x:c r="G16" s="30" t="str">
        <x:v>有理由时忠实归属；无理由时使用条件性专业解释，成品仍完整。</x:v>
      </x:c>
      <x:c r="H16" s="30" t="str">
        <x:v>两种输入都说“品牌为了……”，或无理由时退化为参数朗读。</x:v>
      </x:c>
      <x:c r="I16" s="30" t="str">
        <x:v>evaluation_candidate</x:v>
      </x:c>
    </x:row>
    <x:row r="17" ht="82" customHeight="1">
      <x:c r="A17" s="30" t="str">
        <x:v>CDF-V13</x:v>
      </x:c>
      <x:c r="B17" s="30" t="str">
        <x:v>method_contract</x:v>
      </x:c>
      <x:c r="C17" s="30" t="str">
        <x:v>P1,P2,P3</x:v>
      </x:c>
      <x:c r="D17" s="30" t="str">
        <x:v>D-REVERSAL-001</x:v>
      </x:c>
      <x:c r="E17" s="30" t="str">
        <x:v>offline_gold</x:v>
      </x:c>
      <x:c r="F17" s="30" t="str">
        <x:v>旧判断“越宽松越安全”，真实变化是试了短一点的外套后比例更利落。</x:v>
      </x:c>
      <x:c r="G17" s="30" t="str">
        <x:v>反转来自真实变化与条件解释，并保留不适用边界。</x:v>
      </x:c>
      <x:c r="H17" s="30" t="str">
        <x:v>夸成“短款改变人生”或补造购买、身体与顾客反应。</x:v>
      </x:c>
      <x:c r="I17" s="30" t="str">
        <x:v>evaluation_candidate</x:v>
      </x:c>
    </x:row>
    <x:row r="18" ht="82" customHeight="1">
      <x:c r="A18" s="30" t="str">
        <x:v>CDF-V14</x:v>
      </x:c>
      <x:c r="B18" s="30" t="str">
        <x:v>visual_support</x:v>
      </x:c>
      <x:c r="C18" s="30" t="str">
        <x:v>P1,P2,P5</x:v>
      </x:c>
      <x:c r="D18" s="30" t="str">
        <x:v>D-REVERSAL-002</x:v>
      </x:c>
      <x:c r="E18" s="30" t="str">
        <x:v>offline_regression</x:v>
      </x:c>
      <x:c r="F18" s="30" t="str">
        <x:v>删除所有承重画面，只保留字幕“轮廓先到、纹理先到”。</x:v>
      </x:c>
      <x:c r="G18" s="30" t="str">
        <x:v>不得继续把视觉变化判为已被证明；P5 应失败或重写。</x:v>
      </x:c>
      <x:c r="H18" s="30" t="str">
        <x:v>用字幕替代商品、动作和画面本身。</x:v>
      </x:c>
      <x:c r="I18" s="30" t="str">
        <x:v>evaluation_candidate</x:v>
      </x:c>
    </x:row>
    <x:row r="19" ht="82" customHeight="1">
      <x:c r="A19" s="30" t="str">
        <x:v>CDF-V15</x:v>
      </x:c>
      <x:c r="B19" s="30" t="str">
        <x:v>p3_vertical</x:v>
      </x:c>
      <x:c r="C19" s="30" t="str">
        <x:v>P3</x:v>
      </x:c>
      <x:c r="D19" s="30" t="str">
        <x:v>D-PERSONA-001</x:v>
      </x:c>
      <x:c r="E19" s="30" t="str">
        <x:v>offline_gold</x:v>
      </x:c>
      <x:c r="F19" s="30" t="str">
        <x:v>弱种子：“今天喝一直喝的咖啡，居然是甜的。”</x:v>
      </x:c>
      <x:c r="G19" s="30" t="str">
        <x:v>结合品牌基线和账号位置形成一条具体人格反应主线，让受众多认识账号一点。</x:v>
      </x:c>
      <x:c r="H19" s="30" t="str">
        <x:v>“不是咖啡甜，是心变甜”式通用鸡汤，或硬接商品/CTA。</x:v>
      </x:c>
      <x:c r="I19" s="30" t="str">
        <x:v>evaluation_candidate</x:v>
      </x:c>
    </x:row>
    <x:row r="20" ht="82" customHeight="1">
      <x:c r="A20" s="30" t="str">
        <x:v>CDF-V16</x:v>
      </x:c>
      <x:c r="B20" s="30" t="str">
        <x:v>p3_vertical</x:v>
      </x:c>
      <x:c r="C20" s="30" t="str">
        <x:v>P3</x:v>
      </x:c>
      <x:c r="D20" s="30" t="str">
        <x:v>D-PERSONA-002</x:v>
      </x:c>
      <x:c r="E20" s="30" t="str">
        <x:v>offline_gold</x:v>
      </x:c>
      <x:c r="F20" s="30" t="str">
        <x:v>种子包含一段夫妻/育儿关系中的未解决毛边。</x:v>
      </x:c>
      <x:c r="G20" s="30" t="str">
        <x:v>保留未完成，用具体反应形成关系增量，不强行建议或升华。</x:v>
      </x:c>
      <x:c r="H20" s="30" t="str">
        <x:v>自动解决矛盾、输出万能婚姻/育儿道理或制造更大冲突。</x:v>
      </x:c>
      <x:c r="I20" s="30" t="str">
        <x:v>evaluation_candidate</x:v>
      </x:c>
    </x:row>
    <x:row r="21" ht="82" customHeight="1">
      <x:c r="A21" s="30" t="str">
        <x:v>CDF-V17</x:v>
      </x:c>
      <x:c r="B21" s="30" t="str">
        <x:v>public_response</x:v>
      </x:c>
      <x:c r="C21" s="30" t="str">
        <x:v>P1,P2,P4</x:v>
      </x:c>
      <x:c r="D21" s="30" t="str">
        <x:v>D-RESPONSE-001</x:v>
      </x:c>
      <x:c r="E21" s="30" t="str">
        <x:v>offline_gold</x:v>
      </x:c>
      <x:c r="F21" s="30" t="str">
        <x:v>一条评论问“我胯宽，这件短外套是不是不能穿？”</x:v>
      </x:c>
      <x:c r="G21" s="30" t="str">
        <x:v>去除个人识别，提炼公共问题，给条件性判断和公开观看价值。</x:v>
      </x:c>
      <x:c r="H21" s="30" t="str">
        <x:v>把评论者建成顾客画像，或只回复“欢迎来店里试”。</x:v>
      </x:c>
      <x:c r="I21" s="30" t="str">
        <x:v>evaluation_candidate</x:v>
      </x:c>
    </x:row>
    <x:row r="22" ht="82" customHeight="1">
      <x:c r="A22" s="30" t="str">
        <x:v>CDF-V18</x:v>
      </x:c>
      <x:c r="B22" s="30" t="str">
        <x:v>p4_vertical</x:v>
      </x:c>
      <x:c r="C22" s="30" t="str">
        <x:v>P4</x:v>
      </x:c>
      <x:c r="D22" s="30" t="str">
        <x:v>D-RESPONSE-002; C-LOCAL-001; C-LOCAL-002; C-LOCAL-003; C-LOCAL-004</x:v>
      </x:c>
      <x:c r="E22" s="30" t="str">
        <x:v>offline_gold</x:v>
      </x:c>
      <x:c r="F22" s="30" t="str">
        <x:v>没有评论和门店观察，仅有合法地域位置和可靠公共背景。</x:v>
      </x:c>
      <x:c r="G22" s="30" t="str">
        <x:v>通过在地上下文、账号回应和关系回报三关；若地域不承重则转 P3/其他产品。</x:v>
      </x:c>
      <x:c r="H22" s="30" t="str">
        <x:v>虚构当地人群路线、门店事实，或以城市名证明 P4。</x:v>
      </x:c>
      <x:c r="I22" s="30" t="str">
        <x:v>evaluation_candidate</x:v>
      </x:c>
    </x:row>
    <x:row r="23" ht="82" customHeight="1">
      <x:c r="A23" s="30" t="str">
        <x:v>CDF-V19</x:v>
      </x:c>
      <x:c r="B23" s="30" t="str">
        <x:v>creative_license</x:v>
      </x:c>
      <x:c r="C23" s="30" t="str">
        <x:v>P1,P2,P3,P4,P5</x:v>
      </x:c>
      <x:c r="D23" s="30" t="str">
        <x:v>D-DRAMA-001</x:v>
      </x:c>
      <x:c r="E23" s="30" t="str">
        <x:v>offline_gold</x:v>
      </x:c>
      <x:c r="F23" s="30" t="str">
        <x:v>真实种子允许 enriched，但未授权完整戏剧化。</x:v>
      </x:c>
      <x:c r="G23" s="30" t="str">
        <x:v>增加非承重对白、动作、节奏和画面，身份、关系、结果、时间地点数量保持。</x:v>
      </x:c>
      <x:c r="H23" s="30" t="str">
        <x:v>新增人物、购买结果、争吵结果或逐字真实口径。</x:v>
      </x:c>
      <x:c r="I23" s="30" t="str">
        <x:v>evaluation_candidate</x:v>
      </x:c>
    </x:row>
    <x:row r="24" ht="82" customHeight="1">
      <x:c r="A24" s="30" t="str">
        <x:v>CDF-V20</x:v>
      </x:c>
      <x:c r="B24" s="30" t="str">
        <x:v>creative_license</x:v>
      </x:c>
      <x:c r="C24" s="30" t="str">
        <x:v>P1,P2,P3,P4,P5</x:v>
      </x:c>
      <x:c r="D24" s="30" t="str">
        <x:v>D-DRAMA-002</x:v>
      </x:c>
      <x:c r="E24" s="30" t="str">
        <x:v>offline_regression</x:v>
      </x:c>
      <x:c r="F24" s="30" t="str">
        <x:v>用户明确要求“改成一段虚构情景剧”。</x:v>
      </x:c>
      <x:c r="G24" s="30" t="str">
        <x:v>充分戏剧化并自然表明情景/虚构，不回写为顾客或门店事实。</x:v>
      </x:c>
      <x:c r="H24" s="30" t="str">
        <x:v>继续要求证明对白真实，或把虚构销量、库存、疗效写入剧情。</x:v>
      </x:c>
      <x:c r="I24" s="30" t="str">
        <x:v>evaluation_candidate</x:v>
      </x:c>
    </x:row>
    <x:row r="25" ht="82" customHeight="1">
      <x:c r="A25" s="30" t="str">
        <x:v>CDF-V21</x:v>
      </x:c>
      <x:c r="B25" s="30" t="str">
        <x:v>rhetoric_boundary</x:v>
      </x:c>
      <x:c r="C25" s="30" t="str">
        <x:v>P1,P2,P3,P4,P5</x:v>
      </x:c>
      <x:c r="D25" s="30" t="str">
        <x:v>D-RHETORIC-001; D-RHETORIC-002</x:v>
      </x:c>
      <x:c r="E25" s="30" t="str">
        <x:v>offline_regression</x:v>
      </x:c>
      <x:c r="F25" s="30" t="str">
        <x:v>初稿同时使用搞笑、治愈、热血、伤感和强 CTA。</x:v>
      </x:c>
      <x:c r="G25" s="30" t="str">
        <x:v>收敛为一个主语气/情绪和最多一个辅助效果；修辞服务主要产品价值。</x:v>
      </x:c>
      <x:c r="H25" s="30" t="str">
        <x:v>保留 AI 大杂烩，或让梗、比喻替代事实和判断。</x:v>
      </x:c>
      <x:c r="I25" s="30" t="str">
        <x:v>evaluation_candidate</x:v>
      </x:c>
    </x:row>
    <x:row r="26" ht="82" customHeight="1">
      <x:c r="A26" s="30" t="str">
        <x:v>CDF-V22</x:v>
      </x:c>
      <x:c r="B26" s="30" t="str">
        <x:v>anti_ai_mouthwash</x:v>
      </x:c>
      <x:c r="C26" s="30" t="str">
        <x:v>P1,P2,P3,P4,P5</x:v>
      </x:c>
      <x:c r="D26" s="30" t="str">
        <x:v>D-CRAFT-001; D-CRAFT-002</x:v>
      </x:c>
      <x:c r="E26" s="30" t="str">
        <x:v>offline_gold</x:v>
      </x:c>
      <x:c r="F26" s="30" t="str">
        <x:v>初稿包含同义反复、假共情、万能金句、空泛祝福和机械“不是…而是…”。</x:v>
      </x:c>
      <x:c r="G26" s="30" t="str">
        <x:v>每段只保留推进观察、证据、动作、关系或必要节奏的内容；语气符合账号。</x:v>
      </x:c>
      <x:c r="H26" s="30" t="str">
        <x:v>用故意错字、结巴、口头禅或机械禁词表假装真人。</x:v>
      </x:c>
      <x:c r="I26" s="30" t="str">
        <x:v>evaluation_candidate</x:v>
      </x:c>
    </x:row>
    <x:row r="27" ht="82" customHeight="1">
      <x:c r="A27" s="30" t="str">
        <x:v>CDF-V23</x:v>
      </x:c>
      <x:c r="B27" s="30" t="str">
        <x:v>role_boundary</x:v>
      </x:c>
      <x:c r="C27" s="30" t="str">
        <x:v>P1,P2,P3,P4,P5</x:v>
      </x:c>
      <x:c r="D27" s="30" t="str">
        <x:v>F-HQ-VALUE-001; F-HQ-PRODUCT-001; F-HQ-SERVICE-001; F-STORE-MANAGER-001; F-STORE-ADVISOR-001; D-PERSONA-001</x:v>
      </x:c>
      <x:c r="E27" s="30" t="str">
        <x:v>offline_gold</x:v>
      </x:c>
      <x:c r="F27" s="30" t="str">
        <x:v>将同一门店事件分别交给总部设计专家、总部服务专家和南城店店长账号。</x:v>
      </x:c>
      <x:c r="G27" s="30" t="str">
        <x:v>第一人称资格、细节来源和主要价值应重写；总部角色不得冒充门店现场。</x:v>
      </x:c>
      <x:c r="H27" s="30" t="str">
        <x:v>只换账号名和语气，或让实际操作人的私人经历自动进入任一角色。</x:v>
      </x:c>
      <x:c r="I27" s="30" t="str">
        <x:v>evaluation_candidate</x:v>
      </x:c>
    </x:row>
    <x:row r="28" ht="82" customHeight="1">
      <x:c r="A28" s="30" t="str">
        <x:v>CDF-V24</x:v>
      </x:c>
      <x:c r="B28" s="30" t="str">
        <x:v>role_and_locality</x:v>
      </x:c>
      <x:c r="C28" s="30" t="str">
        <x:v>P4</x:v>
      </x:c>
      <x:c r="D28" s="30" t="str">
        <x:v>F-REGION-OPERATOR-001; F-STORE-MANAGER-001; D-RESPONSE-002; C-LOCAL-002</x:v>
      </x:c>
      <x:c r="E28" s="30" t="str">
        <x:v>offline_gold</x:v>
      </x:c>
      <x:c r="F28" s="30" t="str">
        <x:v>区域账号与门店账号处理同一真实本地服务信号。</x:v>
      </x:c>
      <x:c r="G28" s="30" t="str">
        <x:v>区域账号形成范围化转译，门店账号形成具体近场回应；共同品牌核心一致。</x:v>
      </x:c>
      <x:c r="H28" s="30" t="str">
        <x:v>区域冒充门店“今天接待”，门店冒充总部/区域经营结论。</x:v>
      </x:c>
      <x:c r="I28" s="30" t="str">
        <x:v>evaluation_candidate</x:v>
      </x:c>
    </x:row>
    <x:row r="29" ht="82" customHeight="1">
      <x:c r="A29" s="30" t="str">
        <x:v>CDF-V25</x:v>
      </x:c>
      <x:c r="B29" s="30" t="str">
        <x:v>template_boundary</x:v>
      </x:c>
      <x:c r="C29" s="30" t="str">
        <x:v>P1,P2,P3,P4,P5</x:v>
      </x:c>
      <x:c r="D29" s="30" t="str">
        <x:v>F-MATRIX-001; F-SYMBOL-001</x:v>
      </x:c>
      <x:c r="E29" s="30" t="str">
        <x:v>offline_regression</x:v>
      </x:c>
      <x:c r="F29" s="30" t="str">
        <x:v>新品牌只有最低品牌基线和少量真实人员，不足以建立五类完整角色资产。</x:v>
      </x:c>
      <x:c r="G29" s="30" t="str">
        <x:v>只规划当前有真实权威和任务消费者的最小角色；商品/栏目符号可以作为非真人资产，但不冒充人设。</x:v>
      </x:c>
      <x:c r="H29" s="30" t="str">
        <x:v>自动创建五个账号、空角色、权限和流程，或让拟人符号拥有真人经历。</x:v>
      </x:c>
      <x:c r="I29" s="30" t="str">
        <x:v>evaluation_candidate</x:v>
      </x:c>
    </x:row>
  </x:sheetData>
  <x:mergeCells>
    <x:mergeCell ref="A1:I1"/>
    <x:mergeCell ref="A2:I2"/>
  </x:mergeCells>
  <x:conditionalFormatting sqref="I5:I29">
    <x:cfRule type="expression" dxfId="6" priority="1">
      <x:formula>I5="evaluation_candidate"</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46" hidden="0" customWidth="1"/>
    <x:col min="3" max="3" width="44" hidden="0" customWidth="1"/>
    <x:col min="4" max="4" width="44" hidden="0" customWidth="1"/>
    <x:col min="5" max="5" width="42" hidden="0" customWidth="1"/>
    <x:col min="6" max="6" width="30" hidden="0" customWidth="1"/>
  </x:cols>
  <x:sheetData>
    <x:row r="1" ht="28" customHeight="1">
      <x:c r="A1" s="5" t="str">
        <x:v>第三批复核说明</x:v>
      </x:c>
      <x:c r="B1" s="5"/>
      <x:c r="C1" s="5"/>
      <x:c r="D1" s="5"/>
      <x:c r="E1" s="5"/>
      <x:c r="F1" s="5"/>
    </x:row>
    <x:row r="2" ht="21" customHeight="1">
      <x:c r="A2" s="13" t="str">
        <x:v>复核目标是让 C/D/F 真正改善 P1—P5，而不是增加模板、字段和治理负担</x:v>
      </x:c>
      <x:c r="B2" s="13"/>
      <x:c r="C2" s="13"/>
      <x:c r="D2" s="13"/>
      <x:c r="E2" s="13"/>
      <x:c r="F2" s="13"/>
    </x:row>
    <x:row r="4">
      <x:c r="A4" s="22" t="str">
        <x:v>复核区域</x:v>
      </x:c>
      <x:c r="B4" s="22" t="str">
        <x:v>检查问题</x:v>
      </x:c>
      <x:c r="C4" s="22" t="str">
        <x:v>通过条件</x:v>
      </x:c>
      <x:c r="D4" s="22" t="str">
        <x:v>典型失败</x:v>
      </x:c>
      <x:c r="E4" s="22" t="str">
        <x:v>建议动作</x:v>
      </x:c>
      <x:c r="F4" s="22" t="str">
        <x:v>负责角色建议</x:v>
      </x:c>
    </x:row>
    <x:row r="5" ht="72" customHeight="1">
      <x:c r="A5" s="30" t="str">
        <x:v>C 场景反刻板化</x:v>
      </x:c>
      <x:c r="B5" s="30" t="str">
        <x:v>是否把身份、城市、年龄或关系写成固定人格？</x:v>
      </x:c>
      <x:c r="C5" s="30" t="str">
        <x:v>只保存场景条件、张力和可变因素</x:v>
      </x:c>
      <x:c r="D5" s="30" t="str">
        <x:v>职业女性/妈妈/南方人等固定画像</x:v>
      </x:c>
      <x:c r="E5" s="30" t="str">
        <x:v>改为条件或创意候选；删除群体结论</x:v>
      </x:c>
      <x:c r="F5" s="30" t="str">
        <x:v>内容策略 + 零售/消费者研究</x:v>
      </x:c>
    </x:row>
    <x:row r="6" ht="72" customHeight="1">
      <x:c r="A6" s="30" t="str">
        <x:v>C 场景消费者</x:v>
      </x:c>
      <x:c r="B6" s="30" t="str">
        <x:v>是否至少被一个 P1/P3/P4/P5 任务真实消费？</x:v>
      </x:c>
      <x:c r="C6" s="30" t="str">
        <x:v>能改变路由、判断、观察或成品结构</x:v>
      </x:c>
      <x:c r="D6" s="30" t="str">
        <x:v>只是“生活中可能发生”的故事储备</x:v>
      </x:c>
      <x:c r="E6" s="30" t="str">
        <x:v>删除或降级，不为完整度保留</x:v>
      </x:c>
      <x:c r="F6" s="30" t="str">
        <x:v>产品负责人</x:v>
      </x:c>
    </x:row>
    <x:row r="7" ht="72" customHeight="1">
      <x:c r="A7" s="30" t="str">
        <x:v>D 主产品服从</x:v>
      </x:c>
      <x:c r="B7" s="30" t="str">
        <x:v>方法是否服务唯一主要产品价值？</x:v>
      </x:c>
      <x:c r="C7" s="30" t="str">
        <x:v>拿掉方法形式后仍能说明产品任务</x:v>
      </x:c>
      <x:c r="D7" s="30" t="str">
        <x:v>故事、问答、反转替代了选择/解释/人格/关系/视觉</x:v>
      </x:c>
      <x:c r="E7" s="30" t="str">
        <x:v>重写 use_when/avoid_when</x:v>
      </x:c>
      <x:c r="F7" s="30" t="str">
        <x:v>内容产品负责人</x:v>
      </x:c>
    </x:row>
    <x:row r="8" ht="72" customHeight="1">
      <x:c r="A8" s="30" t="str">
        <x:v>D 真实种子增益</x:v>
      </x:c>
      <x:c r="B8" s="30" t="str">
        <x:v>是否充分创作但不改承重前提？</x:v>
      </x:c>
      <x:c r="C8" s="30" t="str">
        <x:v>身份、关系、结果、时间地点数量和硬事实保持</x:v>
      </x:c>
      <x:c r="D8" s="30" t="str">
        <x:v>过度谨慎复述；或戏剧化冒充事实</x:v>
      </x:c>
      <x:c r="E8" s="30" t="str">
        <x:v>按 ADR-014 调整 creative_license</x:v>
      </x:c>
      <x:c r="F8" s="30" t="str">
        <x:v>内容策略 + 风险复核</x:v>
      </x:c>
    </x:row>
    <x:row r="9" ht="72" customHeight="1">
      <x:c r="A9" s="30" t="str">
        <x:v>D 反 AI 口水化</x:v>
      </x:c>
      <x:c r="B9" s="30" t="str">
        <x:v>每段是否推进具体价值？</x:v>
      </x:c>
      <x:c r="C9" s="30" t="str">
        <x:v>删掉同义反复后主线更清楚</x:v>
      </x:c>
      <x:c r="D9" s="30" t="str">
        <x:v>万能金句、假共情、抽象祝福</x:v>
      </x:c>
      <x:c r="E9" s="30" t="str">
        <x:v>执行段落功能删改，不建禁词表</x:v>
      </x:c>
      <x:c r="F9" s="30" t="str">
        <x:v>编辑/内容策略</x:v>
      </x:c>
    </x:row>
    <x:row r="10" ht="72" customHeight="1">
      <x:c r="A10" s="30" t="str">
        <x:v>P4 在地性</x:v>
      </x:c>
      <x:c r="B10" s="30" t="str">
        <x:v>地域是否改变处境、判断、行动或关系？</x:v>
      </x:c>
      <x:c r="C10" s="30" t="str">
        <x:v>换地域后结构或关系姿态应变化</x:v>
      </x:c>
      <x:c r="D10" s="30" t="str">
        <x:v>城市名、方言、地标和地址替换</x:v>
      </x:c>
      <x:c r="E10" s="30" t="str">
        <x:v>转 P3/其他产品或补真实背景</x:v>
      </x:c>
      <x:c r="F10" s="30" t="str">
        <x:v>区域/门店业务专家</x:v>
      </x:c>
    </x:row>
    <x:row r="11" ht="72" customHeight="1">
      <x:c r="A11" s="30" t="str">
        <x:v>F 权威与身份</x:v>
      </x:c>
      <x:c r="B11" s="30" t="str">
        <x:v>角色模板是否与操作人、权限和账号分离？</x:v>
      </x:c>
      <x:c r="C11" s="30" t="str">
        <x:v>合法表达范围和不得冒充清楚</x:v>
      </x:c>
      <x:c r="D11" s="30" t="str">
        <x:v>模板自动成为人设/权限；总部冒充门店</x:v>
      </x:c>
      <x:c r="E11" s="30" t="str">
        <x:v>企业确认后再激活；补角色边界</x:v>
      </x:c>
      <x:c r="F11" s="30" t="str">
        <x:v>企业品牌负责人 + 权限设计</x:v>
      </x:c>
    </x:row>
    <x:row r="12" ht="72" customHeight="1">
      <x:c r="A12" s="30" t="str">
        <x:v>F 最小矩阵</x:v>
      </x:c>
      <x:c r="B12" s="30" t="str">
        <x:v>是否为真实任务建立最小角色，而非追求齐全？</x:v>
      </x:c>
      <x:c r="C12" s="30" t="str">
        <x:v>每个角色都有权威来源和任务消费者</x:v>
      </x:c>
      <x:c r="D12" s="30" t="str">
        <x:v>自动创建五类账号、空角色和空流程</x:v>
      </x:c>
      <x:c r="E12" s="30" t="str">
        <x:v>删除无消费者角色</x:v>
      </x:c>
      <x:c r="F12" s="30" t="str">
        <x:v>品牌策略负责人</x:v>
      </x:c>
    </x:row>
    <x:row r="13" ht="72" customHeight="1">
      <x:c r="A13" s="30" t="str">
        <x:v>来源与版本</x:v>
      </x:c>
      <x:c r="B13" s="30" t="str">
        <x:v>是否把专家综合候选冒充正式知识？</x:v>
      </x:c>
      <x:c r="C13" s="30" t="str">
        <x:v>所有卡保持 review_candidate 并引用上游</x:v>
      </x:c>
      <x:c r="D13" s="30" t="str">
        <x:v>写入 JSONL 后直接视为 active</x:v>
      </x:c>
      <x:c r="E13" s="30" t="str">
        <x:v>完成黄金/回归后再升级</x:v>
      </x:c>
      <x:c r="F13" s="30" t="str">
        <x:v>知识维护人</x:v>
      </x:c>
    </x:row>
    <x:row r="14" ht="72" customHeight="1">
      <x:c r="A14" s="30" t="str">
        <x:v>停止条件</x:v>
      </x:c>
      <x:c r="B14" s="30" t="str">
        <x:v>新增条目是否显著改善黄金任务？</x:v>
      </x:c>
      <x:c r="C14" s="30" t="str">
        <x:v>新增内容改变结果且不制造复杂度</x:v>
      </x:c>
      <x:c r="D14" s="30" t="str">
        <x:v>为了“覆盖全行业”继续扩展</x:v>
      </x:c>
      <x:c r="E14" s="30" t="str">
        <x:v>达到边际收益下降立即停止</x:v>
      </x:c>
      <x:c r="F14" s="30" t="str">
        <x:v>项目负责人</x:v>
      </x:c>
    </x:row>
  </x:sheetData>
  <x:mergeCells>
    <x:mergeCell ref="A1:F1"/>
    <x:mergeCell ref="A2:F2"/>
  </x:mergeCells>
  <x:pageMargins left="0.7" right="0.7" top="0.75" bottom="0.75" header="0.3" footer="0.3"/>
</x:worksheet>
</file>