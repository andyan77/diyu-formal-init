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0c4b8e3e194c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需求矩阵" sheetId="1" r:id="R24321ec85ed2461f"/>
    <x:sheet xmlns:r="http://schemas.openxmlformats.org/officeDocument/2006/relationships" name="产品摘要" sheetId="2" r:id="Rcc24209a370b4085"/>
    <x:sheet xmlns:r="http://schemas.openxmlformats.org/officeDocument/2006/relationships" name="范畴与资产类型" sheetId="3" r:id="Rf0b5d3a7dea6487f"/>
    <x:sheet xmlns:r="http://schemas.openxmlformats.org/officeDocument/2006/relationships" name="硬度与规则类型" sheetId="4" r:id="R8b359ba6bfe04afd"/>
    <x:sheet xmlns:r="http://schemas.openxmlformats.org/officeDocument/2006/relationships" name="使用说明" sheetId="5" r:id="R366a05165f9f4a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1d3b8cb08946c2" /><Relationship Type="http://schemas.openxmlformats.org/officeDocument/2006/relationships/theme" Target="/xl/theme/theme1.xml" Id="Rfb79232456e44600" /><Relationship Type="http://schemas.openxmlformats.org/officeDocument/2006/relationships/sharedStrings" Target="/xl/sharedStrings.xml" Id="Rdff5b479995b4b74" /><Relationship Type="http://schemas.openxmlformats.org/officeDocument/2006/relationships/worksheet" Target="/xl/worksheets/sheet1.xml" Id="R24321ec85ed2461f" /><Relationship Type="http://schemas.openxmlformats.org/officeDocument/2006/relationships/worksheet" Target="/xl/worksheets/sheet2.xml" Id="Rcc24209a370b4085" /><Relationship Type="http://schemas.openxmlformats.org/officeDocument/2006/relationships/worksheet" Target="/xl/worksheets/sheet3.xml" Id="Rf0b5d3a7dea6487f" /><Relationship Type="http://schemas.openxmlformats.org/officeDocument/2006/relationships/worksheet" Target="/xl/worksheets/sheet4.xml" Id="R8b359ba6bfe04afd" /><Relationship Type="http://schemas.openxmlformats.org/officeDocument/2006/relationships/worksheet" Target="/xl/worksheets/sheet5.xml" Id="R366a05165f9f4a6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f20a3656a90405d" /><Relationship Type="http://schemas.openxmlformats.org/officeDocument/2006/relationships/chart" Target="/xl/drawings/charts/chart2.xml" Id="R28213d1862d941b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P1—P5 涉及主题数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涉及主题数</c:v>
          </c:tx>
          <c:cat>
            <c:strRef>
              <c:f>'产品摘要'!$A$4:$A$8</c:f>
              <c:strCache>
                <c:ptCount val="0"/>
              </c:strCache>
            </c:strRef>
          </c:cat>
          <c:val>
            <c:numRef>
              <c:f>'产品摘要'!$B$4:$B$8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A—H 范畴主题数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主题数</c:v>
          </c:tx>
          <c:cat>
            <c:strRef>
              <c:f>'产品摘要'!$D$4:$D$11</c:f>
              <c:strCache>
                <c:ptCount val="0"/>
              </c:strCache>
            </c:strRef>
          </c:cat>
          <c:val>
            <c:numRef>
              <c:f>'产品摘要'!$E$4:$E$11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20a3656a90405d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213d1862d941b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KnowledgeDemandTable" displayName="KnowledgeDemandTable" ref="A4:R53" headerRowCount="1">
  <x:tableColumns count="18">
    <x:tableColumn id="1" name="ID"/>
    <x:tableColumn id="2" name="资产类型"/>
    <x:tableColumn id="3" name="范畴"/>
    <x:tableColumn id="4" name="主题"/>
    <x:tableColumn id="5" name="建设内容"/>
    <x:tableColumn id="6" name="硬度/规则类型"/>
    <x:tableColumn id="7" name="P1"/>
    <x:tableColumn id="8" name="P2"/>
    <x:tableColumn id="9" name="P3"/>
    <x:tableColumn id="10" name="P4"/>
    <x:tableColumn id="11" name="P5"/>
    <x:tableColumn id="12" name="主要消费任务"/>
    <x:tableColumn id="13" name="验收/性质测试"/>
    <x:tableColumn id="14" name="优先级"/>
    <x:tableColumn id="15" name="计划批次"/>
    <x:tableColumn id="16" name="规范状态"/>
    <x:tableColumn id="17" name="明确排除/边界"/>
    <x:tableColumn id="18" name="依据文档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99f532b4714b8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117ab289daf4820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20" hidden="0" customWidth="1"/>
    <x:col min="4" max="4" width="25" hidden="0" customWidth="1"/>
    <x:col min="5" max="5" width="48" hidden="0" customWidth="1"/>
    <x:col min="6" max="6" width="22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  <x:col min="12" max="12" width="34" hidden="0" customWidth="1"/>
    <x:col min="13" max="13" width="42" hidden="0" customWidth="1"/>
    <x:col min="14" max="14" width="8" hidden="0" customWidth="1"/>
    <x:col min="15" max="15" width="20" hidden="0" customWidth="1"/>
    <x:col min="16" max="16" width="18" hidden="0" customWidth="1"/>
    <x:col min="17" max="17" width="42" hidden="0" customWidth="1"/>
    <x:col min="18" max="18" width="28" hidden="0" customWidth="1"/>
  </x:cols>
  <x:sheetData>
    <x:row r="1" ht="28" customHeight="1">
      <x:c r="A1" s="5" t="str">
        <x:v>P1—P5 知识需求追踪矩阵 v0.1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 ht="32" customHeight="1">
      <x:c r="A2" s="13" t="str">
        <x:v>用途：从已确认的 P1—P5 合同反推系统全局知识与能力需求；本表是建设需求目录，不是知识条目数量承诺。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</x:row>
    <x:row r="4" ht="34" customHeight="1">
      <x:c r="A4" s="22" t="str">
        <x:v>ID</x:v>
      </x:c>
      <x:c r="B4" s="22" t="str">
        <x:v>资产类型</x:v>
      </x:c>
      <x:c r="C4" s="22" t="str">
        <x:v>范畴</x:v>
      </x:c>
      <x:c r="D4" s="22" t="str">
        <x:v>主题</x:v>
      </x:c>
      <x:c r="E4" s="22" t="str">
        <x:v>建设内容</x:v>
      </x:c>
      <x:c r="F4" s="22" t="str">
        <x:v>硬度/规则类型</x:v>
      </x:c>
      <x:c r="G4" s="22" t="str">
        <x:v>P1</x:v>
      </x:c>
      <x:c r="H4" s="22" t="str">
        <x:v>P2</x:v>
      </x:c>
      <x:c r="I4" s="22" t="str">
        <x:v>P3</x:v>
      </x:c>
      <x:c r="J4" s="22" t="str">
        <x:v>P4</x:v>
      </x:c>
      <x:c r="K4" s="22" t="str">
        <x:v>P5</x:v>
      </x:c>
      <x:c r="L4" s="22" t="str">
        <x:v>主要消费任务</x:v>
      </x:c>
      <x:c r="M4" s="22" t="str">
        <x:v>验收/性质测试</x:v>
      </x:c>
      <x:c r="N4" s="22" t="str">
        <x:v>优先级</x:v>
      </x:c>
      <x:c r="O4" s="22" t="str">
        <x:v>计划批次</x:v>
      </x:c>
      <x:c r="P4" s="22" t="str">
        <x:v>规范状态</x:v>
      </x:c>
      <x:c r="Q4" s="22" t="str">
        <x:v>明确排除/边界</x:v>
      </x:c>
      <x:c r="R4" s="22" t="str">
        <x:v>依据文档</x:v>
      </x:c>
    </x:row>
    <x:row r="5">
      <x:c r="A5" s="32" t="str">
        <x:v>A01</x:v>
      </x:c>
      <x:c r="B5" s="32" t="str">
        <x:v>领域知识</x:v>
      </x:c>
      <x:c r="C5" s="32" t="str">
        <x:v>A 商品与穿着知识</x:v>
      </x:c>
      <x:c r="D5" s="32" t="str">
        <x:v>纤维、面料与材质术语</x:v>
      </x:c>
      <x:c r="E5" s="30" t="str">
        <x:v>建立跨品牌稳定的纤维、织物、组织与材质基础术语；定义与具体商品事实分离。</x:v>
      </x:c>
      <x:c r="F5" s="34" t="str">
        <x:v>🟥 确定性</x:v>
      </x:c>
      <x:c r="G5" s="34" t="str">
        <x:v>辅</x:v>
      </x:c>
      <x:c r="H5" s="34" t="str">
        <x:v>主</x:v>
      </x:c>
      <x:c r="I5" s="34" t="str"/>
      <x:c r="J5" s="34" t="str"/>
      <x:c r="K5" s="34" t="str">
        <x:v>辅</x:v>
      </x:c>
      <x:c r="L5" s="30" t="str">
        <x:v>P2 解释商品术语；P1/P5 调用基础概念</x:v>
      </x:c>
      <x:c r="M5" s="30" t="str">
        <x:v>术语可在明确口径内直接表达；不能冒充某商品已采用该材质</x:v>
      </x:c>
      <x:c r="N5" s="34" t="str">
        <x:v>P0</x:v>
      </x:c>
      <x:c r="O5" s="34" t="str">
        <x:v>第2批 A/B 专业核心</x:v>
      </x:c>
      <x:c r="P5" s="34" t="str">
        <x:v>可进入批次2</x:v>
      </x:c>
      <x:c r="Q5" s="30" t="str">
        <x:v>不含具体成分、供应商、商品检测或品牌命名</x:v>
      </x:c>
      <x:c r="R5" s="30" t="str">
        <x:v>ADR-001；P2 合同；项目记忆</x:v>
      </x:c>
    </x:row>
    <x:row r="6">
      <x:c r="A6" s="32" t="str">
        <x:v>A02</x:v>
      </x:c>
      <x:c r="B6" s="32" t="str">
        <x:v>领域知识</x:v>
      </x:c>
      <x:c r="C6" s="32" t="str">
        <x:v>A 商品与穿着知识</x:v>
      </x:c>
      <x:c r="D6" s="32" t="str">
        <x:v>材质行为与穿着表现</x:v>
      </x:c>
      <x:c r="E6" s="30" t="str">
        <x:v>温度、吸湿、透气、垂感、挺括、起皱等材质表现的条件性解释。</x:v>
      </x:c>
      <x:c r="F6" s="34" t="str">
        <x:v>🟨 条件性</x:v>
      </x:c>
      <x:c r="G6" s="34" t="str">
        <x:v>主</x:v>
      </x:c>
      <x:c r="H6" s="34" t="str">
        <x:v>主</x:v>
      </x:c>
      <x:c r="I6" s="34" t="str"/>
      <x:c r="J6" s="34" t="str"/>
      <x:c r="K6" s="34" t="str">
        <x:v>辅</x:v>
      </x:c>
      <x:c r="L6" s="30" t="str">
        <x:v>P1 选择判断；P2 商品取舍；P5 材质视觉</x:v>
      </x:c>
      <x:c r="M6" s="30" t="str">
        <x:v>必须带结构、克重、环境、搭配等条件，禁止“羊毛必暖/棉必透气”</x:v>
      </x:c>
      <x:c r="N6" s="34" t="str">
        <x:v>P0</x:v>
      </x:c>
      <x:c r="O6" s="34" t="str">
        <x:v>第2批 A/B 专业核心</x:v>
      </x:c>
      <x:c r="P6" s="34" t="str">
        <x:v>可进入批次2</x:v>
      </x:c>
      <x:c r="Q6" s="30" t="str">
        <x:v>不把纤维名称直接等同于整件性能</x:v>
      </x:c>
      <x:c r="R6" s="30" t="str">
        <x:v>P1/P2 合同；硬度纠偏</x:v>
      </x:c>
    </x:row>
    <x:row r="7">
      <x:c r="A7" s="32" t="str">
        <x:v>A03</x:v>
      </x:c>
      <x:c r="B7" s="32" t="str">
        <x:v>领域知识</x:v>
      </x:c>
      <x:c r="C7" s="32" t="str">
        <x:v>A 商品与穿着知识</x:v>
      </x:c>
      <x:c r="D7" s="32" t="str">
        <x:v>服装结构、版型与工艺术语</x:v>
      </x:c>
      <x:c r="E7" s="30" t="str">
        <x:v>领、袖、肩、腰、开合、口袋、廓形、缝制与结构部位的通用定义及可能效果。</x:v>
      </x:c>
      <x:c r="F7" s="34" t="str">
        <x:v>拆分为🟥术语 + 🟨效果</x:v>
      </x:c>
      <x:c r="G7" s="34" t="str">
        <x:v>主</x:v>
      </x:c>
      <x:c r="H7" s="34" t="str">
        <x:v>主</x:v>
      </x:c>
      <x:c r="I7" s="34" t="str"/>
      <x:c r="J7" s="34" t="str"/>
      <x:c r="K7" s="34" t="str">
        <x:v>主</x:v>
      </x:c>
      <x:c r="L7" s="30" t="str">
        <x:v>P1/P2/P5 共同理解商品结构</x:v>
      </x:c>
      <x:c r="M7" s="30" t="str">
        <x:v>术语定义与结构效果必须拆开；结构效果不得写成必然结果</x:v>
      </x:c>
      <x:c r="N7" s="34" t="str">
        <x:v>P0</x:v>
      </x:c>
      <x:c r="O7" s="34" t="str">
        <x:v>第2批 A/B 专业核心</x:v>
      </x:c>
      <x:c r="P7" s="34" t="str">
        <x:v>可进入批次2</x:v>
      </x:c>
      <x:c r="Q7" s="30" t="str">
        <x:v>不保存具体品牌设计原意和工艺承诺</x:v>
      </x:c>
      <x:c r="R7" s="30" t="str">
        <x:v>P2/P5 合同</x:v>
      </x:c>
    </x:row>
    <x:row r="8">
      <x:c r="A8" s="32" t="str">
        <x:v>A04</x:v>
      </x:c>
      <x:c r="B8" s="32" t="str">
        <x:v>领域知识</x:v>
      </x:c>
      <x:c r="C8" s="32" t="str">
        <x:v>A 商品与穿着知识</x:v>
      </x:c>
      <x:c r="D8" s="32" t="str">
        <x:v>尺码维度与测量方法</x:v>
      </x:c>
      <x:c r="E8" s="30" t="str">
        <x:v>衣长、肩宽、胸围、腰围、裤长等通用测量维度、起止点、单位和误差说明。</x:v>
      </x:c>
      <x:c r="F8" s="34" t="str">
        <x:v>🟥 确定性</x:v>
      </x:c>
      <x:c r="G8" s="34" t="str">
        <x:v>主</x:v>
      </x:c>
      <x:c r="H8" s="34" t="str">
        <x:v>主</x:v>
      </x:c>
      <x:c r="I8" s="34" t="str"/>
      <x:c r="J8" s="34" t="str"/>
      <x:c r="K8" s="34" t="str">
        <x:v>辅</x:v>
      </x:c>
      <x:c r="L8" s="30" t="str">
        <x:v>P1 尺码/选择；P2 参数解释</x:v>
      </x:c>
      <x:c r="M8" s="30" t="str">
        <x:v>不同测量口径必须显式区分；不得由通用定义推断用户尺寸</x:v>
      </x:c>
      <x:c r="N8" s="34" t="str">
        <x:v>P0</x:v>
      </x:c>
      <x:c r="O8" s="34" t="str">
        <x:v>第2批 A/B 专业核心</x:v>
      </x:c>
      <x:c r="P8" s="34" t="str">
        <x:v>可进入批次2</x:v>
      </x:c>
      <x:c r="Q8" s="30" t="str">
        <x:v>不存具体用户身体数据或具体商品尺码表</x:v>
      </x:c>
      <x:c r="R8" s="30" t="str">
        <x:v>ADR-001；P1/P2 合同</x:v>
      </x:c>
    </x:row>
    <x:row r="9">
      <x:c r="A9" s="32" t="str">
        <x:v>A05</x:v>
      </x:c>
      <x:c r="B9" s="32" t="str">
        <x:v>领域知识</x:v>
      </x:c>
      <x:c r="C9" s="32" t="str">
        <x:v>A 商品与穿着知识</x:v>
      </x:c>
      <x:c r="D9" s="32" t="str">
        <x:v>合身、活动量与舒适边界</x:v>
      </x:c>
      <x:c r="E9" s="30" t="str">
        <x:v>松量、活动范围、贴附、支撑、包裹感与舒适性的条件关系。</x:v>
      </x:c>
      <x:c r="F9" s="34" t="str">
        <x:v>🟨 条件性</x:v>
      </x:c>
      <x:c r="G9" s="34" t="str">
        <x:v>主</x:v>
      </x:c>
      <x:c r="H9" s="34" t="str">
        <x:v>主</x:v>
      </x:c>
      <x:c r="I9" s="34" t="str"/>
      <x:c r="J9" s="34" t="str"/>
      <x:c r="K9" s="34" t="str">
        <x:v>辅</x:v>
      </x:c>
      <x:c r="L9" s="30" t="str">
        <x:v>P1 选择；P2 预期管理</x:v>
      </x:c>
      <x:c r="M9" s="30" t="str">
        <x:v>必须说明活动、结构、面料与个人偏好；禁止诊断身体缺陷</x:v>
      </x:c>
      <x:c r="N9" s="34" t="str">
        <x:v>P0</x:v>
      </x:c>
      <x:c r="O9" s="34" t="str">
        <x:v>第2批 A/B 专业核心</x:v>
      </x:c>
      <x:c r="P9" s="34" t="str">
        <x:v>可进入批次2</x:v>
      </x:c>
      <x:c r="Q9" s="30" t="str">
        <x:v>不建立身体羞辱或单一身材决定论</x:v>
      </x:c>
      <x:c r="R9" s="30" t="str">
        <x:v>P1/P2 合同</x:v>
      </x:c>
    </x:row>
    <x:row r="10">
      <x:c r="A10" s="32" t="str">
        <x:v>A06</x:v>
      </x:c>
      <x:c r="B10" s="32" t="str">
        <x:v>领域知识</x:v>
      </x:c>
      <x:c r="C10" s="32" t="str">
        <x:v>A 商品与穿着知识</x:v>
      </x:c>
      <x:c r="D10" s="32" t="str">
        <x:v>品类功能与使用边界</x:v>
      </x:c>
      <x:c r="E10" s="30" t="str">
        <x:v>外套、衬衫、针织、裤装、裙装等品类的通用使用任务、优势和限制。</x:v>
      </x:c>
      <x:c r="F10" s="34" t="str">
        <x:v>🟨 条件性</x:v>
      </x:c>
      <x:c r="G10" s="34" t="str">
        <x:v>主</x:v>
      </x:c>
      <x:c r="H10" s="34" t="str">
        <x:v>主</x:v>
      </x:c>
      <x:c r="I10" s="34" t="str"/>
      <x:c r="J10" s="34" t="str"/>
      <x:c r="K10" s="34" t="str">
        <x:v>辅</x:v>
      </x:c>
      <x:c r="L10" s="30" t="str">
        <x:v>P1 场景选择；P2 商品预期</x:v>
      </x:c>
      <x:c r="M10" s="30" t="str">
        <x:v>品类不是功能保证；必须结合结构、面料和场景</x:v>
      </x:c>
      <x:c r="N10" s="34" t="str">
        <x:v>P1</x:v>
      </x:c>
      <x:c r="O10" s="34" t="str">
        <x:v>第2批 A/B 专业核心</x:v>
      </x:c>
      <x:c r="P10" s="34" t="str">
        <x:v>可进入批次2</x:v>
      </x:c>
      <x:c r="Q10" s="30" t="str">
        <x:v>不替代具体商品资料，不承诺所有同类商品相同</x:v>
      </x:c>
      <x:c r="R10" s="30" t="str">
        <x:v>P1/P2 合同</x:v>
      </x:c>
    </x:row>
    <x:row r="11">
      <x:c r="A11" s="32" t="str">
        <x:v>A07</x:v>
      </x:c>
      <x:c r="B11" s="32" t="str">
        <x:v>领域知识</x:v>
      </x:c>
      <x:c r="C11" s="32" t="str">
        <x:v>A 商品与穿着知识</x:v>
      </x:c>
      <x:c r="D11" s="32" t="str">
        <x:v>洗护符号与基础护理</x:v>
      </x:c>
      <x:c r="E11" s="30" t="str">
        <x:v>通用洗护符号、护理动作含义及材料/结构相关的条件性护理建议。</x:v>
      </x:c>
      <x:c r="F11" s="34" t="str">
        <x:v>拆分为🟥符号 + 🟨建议</x:v>
      </x:c>
      <x:c r="G11" s="34" t="str">
        <x:v>主</x:v>
      </x:c>
      <x:c r="H11" s="34" t="str">
        <x:v>主</x:v>
      </x:c>
      <x:c r="I11" s="34" t="str"/>
      <x:c r="J11" s="34" t="str"/>
      <x:c r="K11" s="34" t="str"/>
      <x:c r="L11" s="30" t="str">
        <x:v>P1 使用选择；P2 商品解释</x:v>
      </x:c>
      <x:c r="M11" s="30" t="str">
        <x:v>标准符号可确定表达；护理建议必须服从具体商品洗护说明</x:v>
      </x:c>
      <x:c r="N11" s="34" t="str">
        <x:v>P0</x:v>
      </x:c>
      <x:c r="O11" s="34" t="str">
        <x:v>第2批 A/B 专业核心</x:v>
      </x:c>
      <x:c r="P11" s="34" t="str">
        <x:v>可进入批次2</x:v>
      </x:c>
      <x:c r="Q11" s="30" t="str">
        <x:v>不覆盖品牌商品当前洗护标签</x:v>
      </x:c>
      <x:c r="R11" s="30" t="str">
        <x:v>P1/P2 合同</x:v>
      </x:c>
    </x:row>
    <x:row r="12">
      <x:c r="A12" s="32" t="str">
        <x:v>A08</x:v>
      </x:c>
      <x:c r="B12" s="32" t="str">
        <x:v>领域知识</x:v>
      </x:c>
      <x:c r="C12" s="32" t="str">
        <x:v>A 商品与穿着知识</x:v>
      </x:c>
      <x:c r="D12" s="32" t="str">
        <x:v>商品特征到可感知价值的翻译边界</x:v>
      </x:c>
      <x:c r="E12" s="30" t="str">
        <x:v>把结构、材质和工艺翻译为穿着、使用或视觉影响，并区分事实、条件性解释和审美判断。</x:v>
      </x:c>
      <x:c r="F12" s="34" t="str">
        <x:v>🟨 条件性</x:v>
      </x:c>
      <x:c r="G12" s="34" t="str">
        <x:v>辅</x:v>
      </x:c>
      <x:c r="H12" s="34" t="str">
        <x:v>主</x:v>
      </x:c>
      <x:c r="I12" s="34" t="str"/>
      <x:c r="J12" s="34" t="str"/>
      <x:c r="K12" s="34" t="str">
        <x:v>辅</x:v>
      </x:c>
      <x:c r="L12" s="30" t="str">
        <x:v>P2 单一商品认知主线；P1/P5 调用</x:v>
      </x:c>
      <x:c r="M12" s="30" t="str">
        <x:v>无品牌设计原意时只能作条件性解释，不冒充“品牌为什么这样设计”</x:v>
      </x:c>
      <x:c r="N12" s="34" t="str">
        <x:v>P0</x:v>
      </x:c>
      <x:c r="O12" s="34" t="str">
        <x:v>第2批 A/B 专业核心</x:v>
      </x:c>
      <x:c r="P12" s="34" t="str">
        <x:v>可进入批次2</x:v>
      </x:c>
      <x:c r="Q12" s="30" t="str">
        <x:v>不编造品牌动机、性能验证、研发故事</x:v>
      </x:c>
      <x:c r="R12" s="30" t="str">
        <x:v>P2 合同；ADR-014</x:v>
      </x:c>
    </x:row>
    <x:row r="13">
      <x:c r="A13" s="32" t="str">
        <x:v>B01</x:v>
      </x:c>
      <x:c r="B13" s="32" t="str">
        <x:v>领域知识</x:v>
      </x:c>
      <x:c r="C13" s="32" t="str">
        <x:v>B 穿搭与造型方法</x:v>
      </x:c>
      <x:c r="D13" s="32" t="str">
        <x:v>比例与视觉重心</x:v>
      </x:c>
      <x:c r="E13" s="30" t="str">
        <x:v>衣长、腰线、分割、上下身比例和视觉重心的条件性关系。</x:v>
      </x:c>
      <x:c r="F13" s="34" t="str">
        <x:v>🟨 条件性</x:v>
      </x:c>
      <x:c r="G13" s="34" t="str">
        <x:v>主</x:v>
      </x:c>
      <x:c r="H13" s="34" t="str">
        <x:v>辅</x:v>
      </x:c>
      <x:c r="I13" s="34" t="str"/>
      <x:c r="J13" s="34" t="str"/>
      <x:c r="K13" s="34" t="str">
        <x:v>主</x:v>
      </x:c>
      <x:c r="L13" s="30" t="str">
        <x:v>P1 选择；P5 造型命题</x:v>
      </x:c>
      <x:c r="M13" s="30" t="str">
        <x:v>单变量替换应改变结论；禁止“短款人人显高”</x:v>
      </x:c>
      <x:c r="N13" s="34" t="str">
        <x:v>P0</x:v>
      </x:c>
      <x:c r="O13" s="34" t="str">
        <x:v>第2批 A/B 专业核心</x:v>
      </x:c>
      <x:c r="P13" s="34" t="str">
        <x:v>可进入批次2</x:v>
      </x:c>
      <x:c r="Q13" s="30" t="str">
        <x:v>不按身高或体型标签直接给绝对答案</x:v>
      </x:c>
      <x:c r="R13" s="30" t="str">
        <x:v>P1/P5 合同</x:v>
      </x:c>
    </x:row>
    <x:row r="14">
      <x:c r="A14" s="32" t="str">
        <x:v>B02</x:v>
      </x:c>
      <x:c r="B14" s="32" t="str">
        <x:v>领域知识</x:v>
      </x:c>
      <x:c r="C14" s="32" t="str">
        <x:v>B 穿搭与造型方法</x:v>
      </x:c>
      <x:c r="D14" s="32" t="str">
        <x:v>轮廓、量感与身体/动作关系</x:v>
      </x:c>
      <x:c r="E14" s="30" t="str">
        <x:v>宽松、收束、肩线、下摆、体积与动作之间的视觉和穿着关系。</x:v>
      </x:c>
      <x:c r="F14" s="34" t="str">
        <x:v>🟨 条件性</x:v>
      </x:c>
      <x:c r="G14" s="34" t="str">
        <x:v>主</x:v>
      </x:c>
      <x:c r="H14" s="34" t="str">
        <x:v>辅</x:v>
      </x:c>
      <x:c r="I14" s="34" t="str"/>
      <x:c r="J14" s="34" t="str"/>
      <x:c r="K14" s="34" t="str">
        <x:v>主</x:v>
      </x:c>
      <x:c r="L14" s="30" t="str">
        <x:v>P1 选择；P5 视觉承重</x:v>
      </x:c>
      <x:c r="M14" s="30" t="str">
        <x:v>必须同时说明目标、面料、结构、动作和代价</x:v>
      </x:c>
      <x:c r="N14" s="34" t="str">
        <x:v>P0</x:v>
      </x:c>
      <x:c r="O14" s="34" t="str">
        <x:v>第2批 A/B 专业核心</x:v>
      </x:c>
      <x:c r="P14" s="34" t="str">
        <x:v>可进入批次2</x:v>
      </x:c>
      <x:c r="Q14" s="30" t="str">
        <x:v>不把“宽松/修身”写成单一好坏</x:v>
      </x:c>
      <x:c r="R14" s="30" t="str">
        <x:v>P1/P5 合同</x:v>
      </x:c>
    </x:row>
    <x:row r="15">
      <x:c r="A15" s="32" t="str">
        <x:v>B03</x:v>
      </x:c>
      <x:c r="B15" s="32" t="str">
        <x:v>领域知识</x:v>
      </x:c>
      <x:c r="C15" s="32" t="str">
        <x:v>B 穿搭与造型方法</x:v>
      </x:c>
      <x:c r="D15" s="32" t="str">
        <x:v>色彩关系</x:v>
      </x:c>
      <x:c r="E15" s="30" t="str">
        <x:v>明度、纯度、冷暖、面积、对比和同色关系的条件性效果与审美候选。</x:v>
      </x:c>
      <x:c r="F15" s="34" t="str">
        <x:v>拆分为🟨关系 + 🟩候选</x:v>
      </x:c>
      <x:c r="G15" s="34" t="str">
        <x:v>主</x:v>
      </x:c>
      <x:c r="H15" s="34" t="str">
        <x:v>辅</x:v>
      </x:c>
      <x:c r="I15" s="34" t="str">
        <x:v>辅</x:v>
      </x:c>
      <x:c r="J15" s="34" t="str">
        <x:v>辅</x:v>
      </x:c>
      <x:c r="K15" s="34" t="str">
        <x:v>主</x:v>
      </x:c>
      <x:c r="L15" s="30" t="str">
        <x:v>P1 搭配判断；P5 视觉世界</x:v>
      </x:c>
      <x:c r="M15" s="30" t="str">
        <x:v>颜色关系与“高级/年轻/显瘦”等审美评价必须分开</x:v>
      </x:c>
      <x:c r="N15" s="34" t="str">
        <x:v>P0</x:v>
      </x:c>
      <x:c r="O15" s="34" t="str">
        <x:v>第2批 A/B 专业核心</x:v>
      </x:c>
      <x:c r="P15" s="34" t="str">
        <x:v>可进入批次2</x:v>
      </x:c>
      <x:c r="Q15" s="30" t="str">
        <x:v>不保存品牌专属色彩规则或短期流行色</x:v>
      </x:c>
      <x:c r="R15" s="30" t="str">
        <x:v>P1/P5 合同</x:v>
      </x:c>
    </x:row>
    <x:row r="16">
      <x:c r="A16" s="32" t="str">
        <x:v>B04</x:v>
      </x:c>
      <x:c r="B16" s="32" t="str">
        <x:v>领域知识</x:v>
      </x:c>
      <x:c r="C16" s="32" t="str">
        <x:v>B 穿搭与造型方法</x:v>
      </x:c>
      <x:c r="D16" s="32" t="str">
        <x:v>材质、纹理与层次</x:v>
      </x:c>
      <x:c r="E16" s="30" t="str">
        <x:v>光泽、粗细、软硬、透明度、纹理和层搭的视觉/触感关系。</x:v>
      </x:c>
      <x:c r="F16" s="34" t="str">
        <x:v>拆分为🟨关系 + 🟩候选</x:v>
      </x:c>
      <x:c r="G16" s="34" t="str">
        <x:v>辅</x:v>
      </x:c>
      <x:c r="H16" s="34" t="str">
        <x:v>辅</x:v>
      </x:c>
      <x:c r="I16" s="34" t="str">
        <x:v>辅</x:v>
      </x:c>
      <x:c r="J16" s="34" t="str"/>
      <x:c r="K16" s="34" t="str">
        <x:v>主</x:v>
      </x:c>
      <x:c r="L16" s="30" t="str">
        <x:v>P5 造型；P1/P2 辅助解释</x:v>
      </x:c>
      <x:c r="M16" s="30" t="str">
        <x:v>视觉候选不得冒充材质功能或品牌商品事实</x:v>
      </x:c>
      <x:c r="N16" s="34" t="str">
        <x:v>P1</x:v>
      </x:c>
      <x:c r="O16" s="34" t="str">
        <x:v>第2批 A/B 专业核心</x:v>
      </x:c>
      <x:c r="P16" s="34" t="str">
        <x:v>可进入批次2</x:v>
      </x:c>
      <x:c r="Q16" s="30" t="str">
        <x:v>不推断未知内里、背面或面料性能</x:v>
      </x:c>
      <x:c r="R16" s="30" t="str">
        <x:v>P2/P5 合同</x:v>
      </x:c>
    </x:row>
    <x:row r="17">
      <x:c r="A17" s="32" t="str">
        <x:v>B05</x:v>
      </x:c>
      <x:c r="B17" s="32" t="str">
        <x:v>领域知识</x:v>
      </x:c>
      <x:c r="C17" s="32" t="str">
        <x:v>B 穿搭与造型方法</x:v>
      </x:c>
      <x:c r="D17" s="32" t="str">
        <x:v>TPO、正式度与场合适配</x:v>
      </x:c>
      <x:c r="E17" s="30" t="str">
        <x:v>会议、通勤、社交、旅行、亲子等场合的正式度、活动量和关系距离。</x:v>
      </x:c>
      <x:c r="F17" s="34" t="str">
        <x:v>🟨 条件性</x:v>
      </x:c>
      <x:c r="G17" s="34" t="str">
        <x:v>主</x:v>
      </x:c>
      <x:c r="H17" s="34" t="str">
        <x:v>辅</x:v>
      </x:c>
      <x:c r="I17" s="34" t="str">
        <x:v>辅</x:v>
      </x:c>
      <x:c r="J17" s="34" t="str">
        <x:v>辅</x:v>
      </x:c>
      <x:c r="K17" s="34" t="str">
        <x:v>辅</x:v>
      </x:c>
      <x:c r="L17" s="30" t="str">
        <x:v>P1 选择判断；全产品场景编译</x:v>
      </x:c>
      <x:c r="M17" s="30" t="str">
        <x:v>场合规则与行业/组织文化相关，不能统一规定颜色或单品</x:v>
      </x:c>
      <x:c r="N17" s="34" t="str">
        <x:v>P0</x:v>
      </x:c>
      <x:c r="O17" s="34" t="str">
        <x:v>第2批 A/B 专业核心</x:v>
      </x:c>
      <x:c r="P17" s="34" t="str">
        <x:v>可进入批次2</x:v>
      </x:c>
      <x:c r="Q17" s="30" t="str">
        <x:v>不保存具体企业着装制度或活动要求</x:v>
      </x:c>
      <x:c r="R17" s="30" t="str">
        <x:v>P1 合同；C 场景</x:v>
      </x:c>
    </x:row>
    <x:row r="18">
      <x:c r="A18" s="32" t="str">
        <x:v>B06</x:v>
      </x:c>
      <x:c r="B18" s="32" t="str">
        <x:v>领域知识</x:v>
      </x:c>
      <x:c r="C18" s="32" t="str">
        <x:v>B 穿搭与造型方法</x:v>
      </x:c>
      <x:c r="D18" s="32" t="str">
        <x:v>气候、温差与层搭</x:v>
      </x:c>
      <x:c r="E18" s="30" t="str">
        <x:v>温度、湿度、风、室内外切换和活动量对层搭与材质选择的影响。</x:v>
      </x:c>
      <x:c r="F18" s="34" t="str">
        <x:v>🟨 条件性</x:v>
      </x:c>
      <x:c r="G18" s="34" t="str">
        <x:v>主</x:v>
      </x:c>
      <x:c r="H18" s="34" t="str">
        <x:v>辅</x:v>
      </x:c>
      <x:c r="I18" s="34" t="str"/>
      <x:c r="J18" s="34" t="str">
        <x:v>主</x:v>
      </x:c>
      <x:c r="K18" s="34" t="str">
        <x:v>辅</x:v>
      </x:c>
      <x:c r="L18" s="30" t="str">
        <x:v>P1/P4 场景判断；P5 视觉背景</x:v>
      </x:c>
      <x:c r="M18" s="30" t="str">
        <x:v>长期气候规律与“今天暴雨”等动态事实分开</x:v>
      </x:c>
      <x:c r="N18" s="34" t="str">
        <x:v>P0</x:v>
      </x:c>
      <x:c r="O18" s="34" t="str">
        <x:v>第2批 A/B 专业核心</x:v>
      </x:c>
      <x:c r="P18" s="34" t="str">
        <x:v>可进入批次2</x:v>
      </x:c>
      <x:c r="Q18" s="30" t="str">
        <x:v>不存当前天气、营业状态或实时本地信息</x:v>
      </x:c>
      <x:c r="R18" s="30" t="str">
        <x:v>P1/P4 合同；ADR-014</x:v>
      </x:c>
    </x:row>
    <x:row r="19">
      <x:c r="A19" s="32" t="str">
        <x:v>B07</x:v>
      </x:c>
      <x:c r="B19" s="32" t="str">
        <x:v>领域知识</x:v>
      </x:c>
      <x:c r="C19" s="32" t="str">
        <x:v>B 穿搭与造型方法</x:v>
      </x:c>
      <x:c r="D19" s="32" t="str">
        <x:v>单品组合、替代与取舍</x:v>
      </x:c>
      <x:c r="E19" s="30" t="str">
        <x:v>组合角色、主次、替代方向、反选和一衣多用的专业方法。</x:v>
      </x:c>
      <x:c r="F19" s="34" t="str">
        <x:v>🟨 条件性 + 🟩候选</x:v>
      </x:c>
      <x:c r="G19" s="34" t="str">
        <x:v>主</x:v>
      </x:c>
      <x:c r="H19" s="34" t="str">
        <x:v>辅</x:v>
      </x:c>
      <x:c r="I19" s="34" t="str">
        <x:v>辅</x:v>
      </x:c>
      <x:c r="J19" s="34" t="str">
        <x:v>辅</x:v>
      </x:c>
      <x:c r="K19" s="34" t="str">
        <x:v>主</x:v>
      </x:c>
      <x:c r="L19" s="30" t="str">
        <x:v>P1 选择；P5 组合；P2 使用建议</x:v>
      </x:c>
      <x:c r="M19" s="30" t="str">
        <x:v>替代必须真实有价值；不为格式完整强造第二商品</x:v>
      </x:c>
      <x:c r="N19" s="34" t="str">
        <x:v>P0</x:v>
      </x:c>
      <x:c r="O19" s="34" t="str">
        <x:v>第2批 A/B 专业核心</x:v>
      </x:c>
      <x:c r="P19" s="34" t="str">
        <x:v>可进入批次2</x:v>
      </x:c>
      <x:c r="Q19" s="30" t="str">
        <x:v>不绑定具体品牌库存或购买能力</x:v>
      </x:c>
      <x:c r="R19" s="30" t="str">
        <x:v>P1/P2/P5 合同</x:v>
      </x:c>
    </x:row>
    <x:row r="20">
      <x:c r="A20" s="32" t="str">
        <x:v>B08</x:v>
      </x:c>
      <x:c r="B20" s="32" t="str">
        <x:v>领域知识</x:v>
      </x:c>
      <x:c r="C20" s="32" t="str">
        <x:v>B 穿搭与造型方法</x:v>
      </x:c>
      <x:c r="D20" s="32" t="str">
        <x:v>可见造型命题与观看路径</x:v>
      </x:c>
      <x:c r="E20" s="30" t="str">
        <x:v>把真实商品关系编译为封面/首图/开场可感知的造型命题、动作和视觉顺序。</x:v>
      </x:c>
      <x:c r="F20" s="34" t="str">
        <x:v>🟨条件性 + 🟩候选</x:v>
      </x:c>
      <x:c r="G20" s="34" t="str">
        <x:v>辅</x:v>
      </x:c>
      <x:c r="H20" s="34" t="str"/>
      <x:c r="I20" s="34" t="str">
        <x:v>辅</x:v>
      </x:c>
      <x:c r="J20" s="34" t="str">
        <x:v>辅</x:v>
      </x:c>
      <x:c r="K20" s="34" t="str">
        <x:v>主</x:v>
      </x:c>
      <x:c r="L20" s="30" t="str">
        <x:v>P5 单一可见造型命题；其他产品共享视觉能力</x:v>
      </x:c>
      <x:c r="M20" s="30" t="str">
        <x:v>移除视觉承重后 P5 价值应消失；具体媒体规格不在本条冻结</x:v>
      </x:c>
      <x:c r="N20" s="34" t="str">
        <x:v>P0</x:v>
      </x:c>
      <x:c r="O20" s="34" t="str">
        <x:v>第4批 P5/媒介</x:v>
      </x:c>
      <x:c r="P20" s="34" t="str">
        <x:v>待P5-C/D关闭</x:v>
      </x:c>
      <x:c r="Q20" s="30" t="str">
        <x:v>不固定镜头数、图片数、平台时长；不等于经营陈列</x:v>
      </x:c>
      <x:c r="R20" s="30" t="str">
        <x:v>P5-A/B；P5-C 候选；ADR-013</x:v>
      </x:c>
    </x:row>
    <x:row r="21">
      <x:c r="A21" s="32" t="str">
        <x:v>C01</x:v>
      </x:c>
      <x:c r="B21" s="32" t="str">
        <x:v>领域知识</x:v>
      </x:c>
      <x:c r="C21" s="32" t="str">
        <x:v>C 人群与生活场景</x:v>
      </x:c>
      <x:c r="D21" s="32" t="str">
        <x:v>通勤场景张力</x:v>
      </x:c>
      <x:c r="E21" s="30" t="str">
        <x:v>正式度、通勤方式、久坐、温差、收纳、时间切换等通用决策因素。</x:v>
      </x:c>
      <x:c r="F21" s="34" t="str">
        <x:v>🟨条件性 + 🟩场景素材</x:v>
      </x:c>
      <x:c r="G21" s="34" t="str">
        <x:v>辅</x:v>
      </x:c>
      <x:c r="H21" s="34" t="str"/>
      <x:c r="I21" s="34" t="str">
        <x:v>主</x:v>
      </x:c>
      <x:c r="J21" s="34" t="str">
        <x:v>主</x:v>
      </x:c>
      <x:c r="K21" s="34" t="str">
        <x:v>辅</x:v>
      </x:c>
      <x:c r="L21" s="30" t="str">
        <x:v>P3 人格反应；P4 在地关系；P1 场景选择</x:v>
      </x:c>
      <x:c r="M21" s="30" t="str">
        <x:v>用场景张力，不把职业女性写成单一人格</x:v>
      </x:c>
      <x:c r="N21" s="34" t="str">
        <x:v>P1</x:v>
      </x:c>
      <x:c r="O21" s="34" t="str">
        <x:v>第3批 C/D/F</x:v>
      </x:c>
      <x:c r="P21" s="34" t="str">
        <x:v>可进入批次3</x:v>
      </x:c>
      <x:c r="Q21" s="30" t="str">
        <x:v>不存具体城市人群画像或顾客故事</x:v>
      </x:c>
      <x:c r="R21" s="30" t="str">
        <x:v>P1/P3/P4 合同</x:v>
      </x:c>
    </x:row>
    <x:row r="22">
      <x:c r="A22" s="32" t="str">
        <x:v>C02</x:v>
      </x:c>
      <x:c r="B22" s="32" t="str">
        <x:v>领域知识</x:v>
      </x:c>
      <x:c r="C22" s="32" t="str">
        <x:v>C 人群与生活场景</x:v>
      </x:c>
      <x:c r="D22" s="32" t="str">
        <x:v>家庭、亲子与照护场景</x:v>
      </x:c>
      <x:c r="E22" s="30" t="str">
        <x:v>行动便利、体面、耐用、时间冲突、代际审美和照护切换等通用张力。</x:v>
      </x:c>
      <x:c r="F22" s="34" t="str">
        <x:v>🟩场景素材 + 🟨条件</x:v>
      </x:c>
      <x:c r="G22" s="34" t="str">
        <x:v>辅</x:v>
      </x:c>
      <x:c r="H22" s="34" t="str"/>
      <x:c r="I22" s="34" t="str">
        <x:v>主</x:v>
      </x:c>
      <x:c r="J22" s="34" t="str">
        <x:v>主</x:v>
      </x:c>
      <x:c r="K22" s="34" t="str"/>
      <x:c r="L22" s="30" t="str">
        <x:v>P3 生活域；P4 关系命题</x:v>
      </x:c>
      <x:c r="M22" s="30" t="str">
        <x:v>不得建立婆婆、孩子、顾客等人物实体或群体刻板画像</x:v>
      </x:c>
      <x:c r="N22" s="34" t="str">
        <x:v>P1</x:v>
      </x:c>
      <x:c r="O22" s="34" t="str">
        <x:v>第3批 C/D/F</x:v>
      </x:c>
      <x:c r="P22" s="34" t="str">
        <x:v>可进入批次3</x:v>
      </x:c>
      <x:c r="Q22" s="30" t="str">
        <x:v>不存真人履历、家庭关系或未成年人素材</x:v>
      </x:c>
      <x:c r="R22" s="30" t="str">
        <x:v>P3/P4 合同；项目记忆</x:v>
      </x:c>
    </x:row>
    <x:row r="23">
      <x:c r="A23" s="32" t="str">
        <x:v>C03</x:v>
      </x:c>
      <x:c r="B23" s="32" t="str">
        <x:v>领域知识</x:v>
      </x:c>
      <x:c r="C23" s="32" t="str">
        <x:v>C 人群与生活场景</x:v>
      </x:c>
      <x:c r="D23" s="32" t="str">
        <x:v>旅行与移动场景</x:v>
      </x:c>
      <x:c r="E23" s="30" t="str">
        <x:v>行李体积、重复搭配、步行量、温差、正式/休闲转换等通用张力。</x:v>
      </x:c>
      <x:c r="F23" s="34" t="str">
        <x:v>🟨条件性 + 🟩场景素材</x:v>
      </x:c>
      <x:c r="G23" s="34" t="str">
        <x:v>主</x:v>
      </x:c>
      <x:c r="H23" s="34" t="str"/>
      <x:c r="I23" s="34" t="str">
        <x:v>辅</x:v>
      </x:c>
      <x:c r="J23" s="34" t="str">
        <x:v>辅</x:v>
      </x:c>
      <x:c r="K23" s="34" t="str">
        <x:v>主</x:v>
      </x:c>
      <x:c r="L23" s="30" t="str">
        <x:v>P1 旅行选择；P5 造型想象</x:v>
      </x:c>
      <x:c r="M23" s="30" t="str">
        <x:v>不假定目的地天气、预算和行程</x:v>
      </x:c>
      <x:c r="N23" s="34" t="str">
        <x:v>P1</x:v>
      </x:c>
      <x:c r="O23" s="34" t="str">
        <x:v>第3批 C/D/F</x:v>
      </x:c>
      <x:c r="P23" s="34" t="str">
        <x:v>可进入批次3</x:v>
      </x:c>
      <x:c r="Q23" s="30" t="str">
        <x:v>动态天气和当地活动另行检索/输入</x:v>
      </x:c>
      <x:c r="R23" s="30" t="str">
        <x:v>P1/P5 合同</x:v>
      </x:c>
    </x:row>
    <x:row r="24">
      <x:c r="A24" s="32" t="str">
        <x:v>C04</x:v>
      </x:c>
      <x:c r="B24" s="32" t="str">
        <x:v>领域知识</x:v>
      </x:c>
      <x:c r="C24" s="32" t="str">
        <x:v>C 人群与生活场景</x:v>
      </x:c>
      <x:c r="D24" s="32" t="str">
        <x:v>社交、约会与关系距离</x:v>
      </x:c>
      <x:c r="E24" s="30" t="str">
        <x:v>被看见、不过度用力、场地、关系亲疏和自我表达之间的张力。</x:v>
      </x:c>
      <x:c r="F24" s="34" t="str">
        <x:v>🟩场景素材 + 🟨条件</x:v>
      </x:c>
      <x:c r="G24" s="34" t="str">
        <x:v>主</x:v>
      </x:c>
      <x:c r="H24" s="34" t="str"/>
      <x:c r="I24" s="34" t="str">
        <x:v>主</x:v>
      </x:c>
      <x:c r="J24" s="34" t="str">
        <x:v>主</x:v>
      </x:c>
      <x:c r="K24" s="34" t="str">
        <x:v>主</x:v>
      </x:c>
      <x:c r="L24" s="30" t="str">
        <x:v>P1 场合选择；P3 人格；P4 关系</x:v>
      </x:c>
      <x:c r="M24" s="30" t="str">
        <x:v>不把性别、年龄、婚姻状态写成固定审美或情绪</x:v>
      </x:c>
      <x:c r="N24" s="34" t="str">
        <x:v>P1</x:v>
      </x:c>
      <x:c r="O24" s="34" t="str">
        <x:v>第3批 C/D/F</x:v>
      </x:c>
      <x:c r="P24" s="34" t="str">
        <x:v>可进入批次3</x:v>
      </x:c>
      <x:c r="Q24" s="30" t="str">
        <x:v>不建群体心理画像</x:v>
      </x:c>
      <x:c r="R24" s="30" t="str">
        <x:v>P1/P3/P4 合同</x:v>
      </x:c>
    </x:row>
    <x:row r="25">
      <x:c r="A25" s="32" t="str">
        <x:v>C05</x:v>
      </x:c>
      <x:c r="B25" s="32" t="str">
        <x:v>领域知识</x:v>
      </x:c>
      <x:c r="C25" s="32" t="str">
        <x:v>C 人群与生活场景</x:v>
      </x:c>
      <x:c r="D25" s="32" t="str">
        <x:v>居家—公共空间转换</x:v>
      </x:c>
      <x:c r="E25" s="30" t="str">
        <x:v>舒适、整洁、突发外出、工作/家庭切换和低成本调整。</x:v>
      </x:c>
      <x:c r="F25" s="34" t="str">
        <x:v>🟩场景素材 + 🟨条件</x:v>
      </x:c>
      <x:c r="G25" s="34" t="str">
        <x:v>主</x:v>
      </x:c>
      <x:c r="H25" s="34" t="str"/>
      <x:c r="I25" s="34" t="str">
        <x:v>主</x:v>
      </x:c>
      <x:c r="J25" s="34" t="str">
        <x:v>辅</x:v>
      </x:c>
      <x:c r="K25" s="34" t="str">
        <x:v>主</x:v>
      </x:c>
      <x:c r="L25" s="30" t="str">
        <x:v>P1/P3/P5 弱种子编译</x:v>
      </x:c>
      <x:c r="M25" s="30" t="str">
        <x:v>场景只提供矛盾和选择，不生成用户真实经历</x:v>
      </x:c>
      <x:c r="N25" s="34" t="str">
        <x:v>P1</x:v>
      </x:c>
      <x:c r="O25" s="34" t="str">
        <x:v>第3批 C/D/F</x:v>
      </x:c>
      <x:c r="P25" s="34" t="str">
        <x:v>可进入批次3</x:v>
      </x:c>
      <x:c r="Q25" s="30" t="str">
        <x:v>不囤积泛生活故事或鸡汤</x:v>
      </x:c>
      <x:c r="R25" s="30" t="str">
        <x:v>P1/P3/P5 合同</x:v>
      </x:c>
    </x:row>
    <x:row r="26">
      <x:c r="A26" s="32" t="str">
        <x:v>C06</x:v>
      </x:c>
      <x:c r="B26" s="32" t="str">
        <x:v>领域知识</x:v>
      </x:c>
      <x:c r="C26" s="32" t="str">
        <x:v>C 人群与生活场景</x:v>
      </x:c>
      <x:c r="D26" s="32" t="str">
        <x:v>本地生活与门店服务关系</x:v>
      </x:c>
      <x:c r="E26" s="30" t="str">
        <x:v>气候、通勤、商圈、门店服务和近场信任的通用关系框架。</x:v>
      </x:c>
      <x:c r="F26" s="34" t="str">
        <x:v>🟩场景素材 + 🟨条件</x:v>
      </x:c>
      <x:c r="G26" s="34" t="str"/>
      <x:c r="H26" s="34" t="str"/>
      <x:c r="I26" s="34" t="str">
        <x:v>辅</x:v>
      </x:c>
      <x:c r="J26" s="34" t="str">
        <x:v>主</x:v>
      </x:c>
      <x:c r="K26" s="34" t="str">
        <x:v>辅</x:v>
      </x:c>
      <x:c r="L26" s="30" t="str">
        <x:v>P4 主动在地关系；P3/P5 辅助</x:v>
      </x:c>
      <x:c r="M26" s="30" t="str">
        <x:v>地域必须实质改变处境或关系；不能只换城市名</x:v>
      </x:c>
      <x:c r="N26" s="34" t="str">
        <x:v>P0</x:v>
      </x:c>
      <x:c r="O26" s="34" t="str">
        <x:v>第3批 C/D/F</x:v>
      </x:c>
      <x:c r="P26" s="34" t="str">
        <x:v>可进入批次3</x:v>
      </x:c>
      <x:c r="Q26" s="30" t="str">
        <x:v>不存具体门店状态、顾客、活动、库存和城市刻板印象</x:v>
      </x:c>
      <x:c r="R26" s="30" t="str">
        <x:v>P4 合同；ADR-014</x:v>
      </x:c>
    </x:row>
    <x:row r="27">
      <x:c r="A27" s="32" t="str">
        <x:v>D01</x:v>
      </x:c>
      <x:c r="B27" s="32" t="str">
        <x:v>生成方法</x:v>
      </x:c>
      <x:c r="C27" s="32" t="str">
        <x:v>D 创作与叙事方法</x:v>
      </x:c>
      <x:c r="D27" s="32" t="str">
        <x:v>直接判断</x:v>
      </x:c>
      <x:c r="E27" s="30" t="str">
        <x:v>在问题清楚时用最短路径给出可执行结论、边界和下一步。</x:v>
      </x:c>
      <x:c r="F27" s="34" t="str">
        <x:v>方法</x:v>
      </x:c>
      <x:c r="G27" s="34" t="str">
        <x:v>主</x:v>
      </x:c>
      <x:c r="H27" s="34" t="str">
        <x:v>辅</x:v>
      </x:c>
      <x:c r="I27" s="34" t="str"/>
      <x:c r="J27" s="34" t="str">
        <x:v>辅</x:v>
      </x:c>
      <x:c r="K27" s="34" t="str"/>
      <x:c r="L27" s="30" t="str">
        <x:v>P1 选择；P2/P4 快速回应</x:v>
      </x:c>
      <x:c r="M27" s="30" t="str">
        <x:v>不得为了“像内容”强加故事和反转</x:v>
      </x:c>
      <x:c r="N27" s="34" t="str">
        <x:v>P0</x:v>
      </x:c>
      <x:c r="O27" s="34" t="str">
        <x:v>第3批 C/D/F</x:v>
      </x:c>
      <x:c r="P27" s="34" t="str">
        <x:v>可进入批次3</x:v>
      </x:c>
      <x:c r="Q27" s="30" t="str">
        <x:v>不固定三段式或字段化输出</x:v>
      </x:c>
      <x:c r="R27" s="30" t="str">
        <x:v>P1/P2/P4 合同</x:v>
      </x:c>
    </x:row>
    <x:row r="28">
      <x:c r="A28" s="32" t="str">
        <x:v>D02</x:v>
      </x:c>
      <x:c r="B28" s="32" t="str">
        <x:v>生成方法</x:v>
      </x:c>
      <x:c r="C28" s="32" t="str">
        <x:v>D 创作与叙事方法</x:v>
      </x:c>
      <x:c r="D28" s="32" t="str">
        <x:v>条件性专业解释</x:v>
      </x:c>
      <x:c r="E28" s="30" t="str">
        <x:v>把专业规律翻译为受众能理解的原因、取舍和不适用条件。</x:v>
      </x:c>
      <x:c r="F28" s="34" t="str">
        <x:v>方法</x:v>
      </x:c>
      <x:c r="G28" s="34" t="str">
        <x:v>主</x:v>
      </x:c>
      <x:c r="H28" s="34" t="str">
        <x:v>主</x:v>
      </x:c>
      <x:c r="I28" s="34" t="str">
        <x:v>辅</x:v>
      </x:c>
      <x:c r="J28" s="34" t="str">
        <x:v>辅</x:v>
      </x:c>
      <x:c r="K28" s="34" t="str">
        <x:v>辅</x:v>
      </x:c>
      <x:c r="L28" s="30" t="str">
        <x:v>P1/P2 专业价值；全产品共享</x:v>
      </x:c>
      <x:c r="M28" s="30" t="str">
        <x:v>必须保留条件；不得冒充官方设计理由</x:v>
      </x:c>
      <x:c r="N28" s="34" t="str">
        <x:v>P0</x:v>
      </x:c>
      <x:c r="O28" s="34" t="str">
        <x:v>第3批 C/D/F</x:v>
      </x:c>
      <x:c r="P28" s="34" t="str">
        <x:v>可进入批次3</x:v>
      </x:c>
      <x:c r="Q28" s="30" t="str">
        <x:v>不建设逐句证据链或审计视图</x:v>
      </x:c>
      <x:c r="R28" s="30" t="str">
        <x:v>ADR-014；P1/P2 合同</x:v>
      </x:c>
    </x:row>
    <x:row r="29">
      <x:c r="A29" s="32" t="str">
        <x:v>D03</x:v>
      </x:c>
      <x:c r="B29" s="32" t="str">
        <x:v>生成方法</x:v>
      </x:c>
      <x:c r="C29" s="32" t="str">
        <x:v>D 创作与叙事方法</x:v>
      </x:c>
      <x:c r="D29" s="32" t="str">
        <x:v>认知反转</x:v>
      </x:c>
      <x:c r="E29" s="30" t="str">
        <x:v>基于真实反例或新观察修正受众旧判断。</x:v>
      </x:c>
      <x:c r="F29" s="34" t="str">
        <x:v>方法</x:v>
      </x:c>
      <x:c r="G29" s="34" t="str">
        <x:v>主</x:v>
      </x:c>
      <x:c r="H29" s="34" t="str">
        <x:v>主</x:v>
      </x:c>
      <x:c r="I29" s="34" t="str">
        <x:v>主</x:v>
      </x:c>
      <x:c r="J29" s="34" t="str">
        <x:v>辅</x:v>
      </x:c>
      <x:c r="K29" s="34" t="str">
        <x:v>辅</x:v>
      </x:c>
      <x:c r="L29" s="30" t="str">
        <x:v>P1/P2/P3 内容竞争力</x:v>
      </x:c>
      <x:c r="M29" s="30" t="str">
        <x:v>没有真实变化时不得强行反转</x:v>
      </x:c>
      <x:c r="N29" s="34" t="str">
        <x:v>P1</x:v>
      </x:c>
      <x:c r="O29" s="34" t="str">
        <x:v>第3批 C/D/F</x:v>
      </x:c>
      <x:c r="P29" s="34" t="str">
        <x:v>可进入批次3</x:v>
      </x:c>
      <x:c r="Q29" s="30" t="str">
        <x:v>不以夸张标题替代新理解</x:v>
      </x:c>
      <x:c r="R29" s="30" t="str">
        <x:v>P1-P3 合同</x:v>
      </x:c>
    </x:row>
    <x:row r="30">
      <x:c r="A30" s="32" t="str">
        <x:v>D04</x:v>
      </x:c>
      <x:c r="B30" s="32" t="str">
        <x:v>生成方法</x:v>
      </x:c>
      <x:c r="C30" s="32" t="str">
        <x:v>D 创作与叙事方法</x:v>
      </x:c>
      <x:c r="D30" s="32" t="str">
        <x:v>观察转观点与人格反应</x:v>
      </x:c>
      <x:c r="E30" s="30" t="str">
        <x:v>从弱生活种子提炼一项具体观察、反应或未完问题，形成账号人格贡献。</x:v>
      </x:c>
      <x:c r="F30" s="34" t="str">
        <x:v>方法</x:v>
      </x:c>
      <x:c r="G30" s="34" t="str"/>
      <x:c r="H30" s="34" t="str"/>
      <x:c r="I30" s="34" t="str">
        <x:v>主</x:v>
      </x:c>
      <x:c r="J30" s="34" t="str">
        <x:v>辅</x:v>
      </x:c>
      <x:c r="K30" s="34" t="str"/>
      <x:c r="L30" s="30" t="str">
        <x:v>P3 人格；P4 关系姿态</x:v>
      </x:c>
      <x:c r="M30" s="30" t="str">
        <x:v>必须由账号位置和品牌基线实质改变内容</x:v>
      </x:c>
      <x:c r="N30" s="34" t="str">
        <x:v>P0</x:v>
      </x:c>
      <x:c r="O30" s="34" t="str">
        <x:v>第3批 C/D/F</x:v>
      </x:c>
      <x:c r="P30" s="34" t="str">
        <x:v>可进入批次3</x:v>
      </x:c>
      <x:c r="Q30" s="30" t="str">
        <x:v>不强行升华，不替账号编造履历</x:v>
      </x:c>
      <x:c r="R30" s="30" t="str">
        <x:v>P3/P4 合同</x:v>
      </x:c>
    </x:row>
    <x:row r="31">
      <x:c r="A31" s="32" t="str">
        <x:v>D05</x:v>
      </x:c>
      <x:c r="B31" s="32" t="str">
        <x:v>生成方法</x:v>
      </x:c>
      <x:c r="C31" s="32" t="str">
        <x:v>D 创作与叙事方法</x:v>
      </x:c>
      <x:c r="D31" s="32" t="str">
        <x:v>问答、评论与公开回应</x:v>
      </x:c>
      <x:c r="E31" s="30" t="str">
        <x:v>把问题、评论或搜索意图编译为具有公共观看价值的回应。</x:v>
      </x:c>
      <x:c r="F31" s="34" t="str">
        <x:v>方法</x:v>
      </x:c>
      <x:c r="G31" s="34" t="str">
        <x:v>辅</x:v>
      </x:c>
      <x:c r="H31" s="34" t="str">
        <x:v>主</x:v>
      </x:c>
      <x:c r="I31" s="34" t="str">
        <x:v>辅</x:v>
      </x:c>
      <x:c r="J31" s="34" t="str">
        <x:v>主</x:v>
      </x:c>
      <x:c r="K31" s="34" t="str"/>
      <x:c r="L31" s="30" t="str">
        <x:v>P4 关系；P1/P2 问答</x:v>
      </x:c>
      <x:c r="M31" s="30" t="str">
        <x:v>不能退化为客服话术、搜索摘要或只回答评论者</x:v>
      </x:c>
      <x:c r="N31" s="34" t="str">
        <x:v>P0</x:v>
      </x:c>
      <x:c r="O31" s="34" t="str">
        <x:v>第3批 C/D/F</x:v>
      </x:c>
      <x:c r="P31" s="34" t="str">
        <x:v>可进入批次3</x:v>
      </x:c>
      <x:c r="Q31" s="30" t="str">
        <x:v>不建立评论者 CRM 或强制反馈门</x:v>
      </x:c>
      <x:c r="R31" s="30" t="str">
        <x:v>P4 合同；ADR-011</x:v>
      </x:c>
    </x:row>
    <x:row r="32">
      <x:c r="A32" s="32" t="str">
        <x:v>D06</x:v>
      </x:c>
      <x:c r="B32" s="32" t="str">
        <x:v>生成方法</x:v>
      </x:c>
      <x:c r="C32" s="32" t="str">
        <x:v>D 创作与叙事方法</x:v>
      </x:c>
      <x:c r="D32" s="32" t="str">
        <x:v>对话、情景与戏剧化演绎</x:v>
      </x:c>
      <x:c r="E32" s="30" t="str">
        <x:v>在明确虚构/演绎或用户授权下组织对白、动作和情景。</x:v>
      </x:c>
      <x:c r="F32" s="34" t="str">
        <x:v>方法</x:v>
      </x:c>
      <x:c r="G32" s="34" t="str">
        <x:v>辅</x:v>
      </x:c>
      <x:c r="H32" s="34" t="str">
        <x:v>辅</x:v>
      </x:c>
      <x:c r="I32" s="34" t="str">
        <x:v>主</x:v>
      </x:c>
      <x:c r="J32" s="34" t="str">
        <x:v>辅</x:v>
      </x:c>
      <x:c r="K32" s="34" t="str">
        <x:v>辅</x:v>
      </x:c>
      <x:c r="L32" s="30" t="str">
        <x:v>P3 叙事；全产品按需</x:v>
      </x:c>
      <x:c r="M32" s="30" t="str">
        <x:v>真实种子不得改变身份、关系、结果和承重事实</x:v>
      </x:c>
      <x:c r="N32" s="34" t="str">
        <x:v>P1</x:v>
      </x:c>
      <x:c r="O32" s="34" t="str">
        <x:v>第3批 C/D/F</x:v>
      </x:c>
      <x:c r="P32" s="34" t="str">
        <x:v>可进入批次3</x:v>
      </x:c>
      <x:c r="Q32" s="30" t="str">
        <x:v>不冒充逐字记录、真实顾客案例或已核验现场</x:v>
      </x:c>
      <x:c r="R32" s="30" t="str">
        <x:v>ADR-014</x:v>
      </x:c>
    </x:row>
    <x:row r="33">
      <x:c r="A33" s="32" t="str">
        <x:v>D07</x:v>
      </x:c>
      <x:c r="B33" s="32" t="str">
        <x:v>生成方法</x:v>
      </x:c>
      <x:c r="C33" s="32" t="str">
        <x:v>D 创作与叙事方法</x:v>
      </x:c>
      <x:c r="D33" s="32" t="str">
        <x:v>幽默、比喻、反差与情绪路线</x:v>
      </x:c>
      <x:c r="E33" s="30" t="str">
        <x:v>用可控修辞增强理解、共鸣和观看张力。</x:v>
      </x:c>
      <x:c r="F33" s="34" t="str">
        <x:v>方法</x:v>
      </x:c>
      <x:c r="G33" s="34" t="str">
        <x:v>辅</x:v>
      </x:c>
      <x:c r="H33" s="34" t="str">
        <x:v>辅</x:v>
      </x:c>
      <x:c r="I33" s="34" t="str">
        <x:v>主</x:v>
      </x:c>
      <x:c r="J33" s="34" t="str">
        <x:v>辅</x:v>
      </x:c>
      <x:c r="K33" s="34" t="str">
        <x:v>辅</x:v>
      </x:c>
      <x:c r="L33" s="30" t="str">
        <x:v>全产品创作增益</x:v>
      </x:c>
      <x:c r="M33" s="30" t="str">
        <x:v>修辞必须服务主价值；不得堆叠多种效果或掩盖事实</x:v>
      </x:c>
      <x:c r="N33" s="34" t="str">
        <x:v>P1</x:v>
      </x:c>
      <x:c r="O33" s="34" t="str">
        <x:v>第3批 C/D/F</x:v>
      </x:c>
      <x:c r="P33" s="34" t="str">
        <x:v>可进入批次3</x:v>
      </x:c>
      <x:c r="Q33" s="30" t="str">
        <x:v>不把情绪效果固化为知识真理</x:v>
      </x:c>
      <x:c r="R33" s="30" t="str">
        <x:v>ADR-014；P3 合同</x:v>
      </x:c>
    </x:row>
    <x:row r="34">
      <x:c r="A34" s="32" t="str">
        <x:v>D08</x:v>
      </x:c>
      <x:c r="B34" s="32" t="str">
        <x:v>生成方法</x:v>
      </x:c>
      <x:c r="C34" s="32" t="str">
        <x:v>D 创作与叙事方法</x:v>
      </x:c>
      <x:c r="D34" s="32" t="str">
        <x:v>结构、节奏与反 AI 口水化</x:v>
      </x:c>
      <x:c r="E34" s="30" t="str">
        <x:v>开头、推进、删减、自我修正、自然口语和反模板化方法。</x:v>
      </x:c>
      <x:c r="F34" s="34" t="str">
        <x:v>方法</x:v>
      </x:c>
      <x:c r="G34" s="34" t="str">
        <x:v>主</x:v>
      </x:c>
      <x:c r="H34" s="34" t="str">
        <x:v>主</x:v>
      </x:c>
      <x:c r="I34" s="34" t="str">
        <x:v>主</x:v>
      </x:c>
      <x:c r="J34" s="34" t="str">
        <x:v>主</x:v>
      </x:c>
      <x:c r="K34" s="34" t="str">
        <x:v>主</x:v>
      </x:c>
      <x:c r="L34" s="30" t="str">
        <x:v>P1—P5 成品竞争力</x:v>
      </x:c>
      <x:c r="M34" s="30" t="str">
        <x:v>只复述、同义反复、假共情、万能金句和强行升华判失败</x:v>
      </x:c>
      <x:c r="N34" s="34" t="str">
        <x:v>P0</x:v>
      </x:c>
      <x:c r="O34" s="34" t="str">
        <x:v>第3批 C/D/F</x:v>
      </x:c>
      <x:c r="P34" s="34" t="str">
        <x:v>可进入批次3</x:v>
      </x:c>
      <x:c r="Q34" s="30" t="str">
        <x:v>不建设真诚分数、禁词表或 AI 文风检测服务</x:v>
      </x:c>
      <x:c r="R34" s="30" t="str">
        <x:v>ADR-014；P3 合同</x:v>
      </x:c>
    </x:row>
    <x:row r="35">
      <x:c r="A35" s="32" t="str">
        <x:v>E01</x:v>
      </x:c>
      <x:c r="B35" s="32" t="str">
        <x:v>制作方法</x:v>
      </x:c>
      <x:c r="C35" s="32" t="str">
        <x:v>E 媒介与制作语法</x:v>
      </x:c>
      <x:c r="D35" s="32" t="str">
        <x:v>制作资源 × 表现语法解耦</x:v>
      </x:c>
      <x:c r="E35" s="30" t="str">
        <x:v>人数、设备、场地与口播、演示、对话、视觉叙事分别建模。</x:v>
      </x:c>
      <x:c r="F35" s="34" t="str">
        <x:v>方法</x:v>
      </x:c>
      <x:c r="G35" s="34" t="str">
        <x:v>辅</x:v>
      </x:c>
      <x:c r="H35" s="34" t="str">
        <x:v>辅</x:v>
      </x:c>
      <x:c r="I35" s="34" t="str">
        <x:v>辅</x:v>
      </x:c>
      <x:c r="J35" s="34" t="str">
        <x:v>辅</x:v>
      </x:c>
      <x:c r="K35" s="34" t="str">
        <x:v>主</x:v>
      </x:c>
      <x:c r="L35" s="30" t="str">
        <x:v>全产品可制作性</x:v>
      </x:c>
      <x:c r="M35" s="30" t="str">
        <x:v>单人不等于只能口播；团队资源也不强制故事化</x:v>
      </x:c>
      <x:c r="N35" s="34" t="str">
        <x:v>P0</x:v>
      </x:c>
      <x:c r="O35" s="34" t="str">
        <x:v>第4批 P5/媒介</x:v>
      </x:c>
      <x:c r="P35" s="34" t="str">
        <x:v>稳定部分可建</x:v>
      </x:c>
      <x:c r="Q35" s="30" t="str">
        <x:v>不固定产品×平台×时长×制作方式矩阵</x:v>
      </x:c>
      <x:c r="R35" s="30" t="str">
        <x:v>ADR-014；D-032 上游原则</x:v>
      </x:c>
    </x:row>
    <x:row r="36">
      <x:c r="A36" s="32" t="str">
        <x:v>E02</x:v>
      </x:c>
      <x:c r="B36" s="32" t="str">
        <x:v>制作方法</x:v>
      </x:c>
      <x:c r="C36" s="32" t="str">
        <x:v>E 媒介与制作语法</x:v>
      </x:c>
      <x:c r="D36" s="32" t="str">
        <x:v>单人轻制作</x:v>
      </x:c>
      <x:c r="E36" s="30" t="str">
        <x:v>自拍、固定机位、支架、可独立完成的补充镜头和自然空间。</x:v>
      </x:c>
      <x:c r="F36" s="34" t="str">
        <x:v>方法</x:v>
      </x:c>
      <x:c r="G36" s="34" t="str">
        <x:v>辅</x:v>
      </x:c>
      <x:c r="H36" s="34" t="str">
        <x:v>辅</x:v>
      </x:c>
      <x:c r="I36" s="34" t="str">
        <x:v>主</x:v>
      </x:c>
      <x:c r="J36" s="34" t="str">
        <x:v>主</x:v>
      </x:c>
      <x:c r="K36" s="34" t="str">
        <x:v>主</x:v>
      </x:c>
      <x:c r="L36" s="30" t="str">
        <x:v>门店与个人创作者下限</x:v>
      </x:c>
      <x:c r="M36" s="30" t="str">
        <x:v>真实资源不足时直接给当前条件可执行版本，不只附“可简化”</x:v>
      </x:c>
      <x:c r="N36" s="34" t="str">
        <x:v>P0</x:v>
      </x:c>
      <x:c r="O36" s="34" t="str">
        <x:v>第4批 P5/媒介</x:v>
      </x:c>
      <x:c r="P36" s="34" t="str">
        <x:v>待D-032细化</x:v>
      </x:c>
      <x:c r="Q36" s="30" t="str">
        <x:v>不虚构摄影师、灯光组或多场景资源</x:v>
      </x:c>
      <x:c r="R36" s="30" t="str">
        <x:v>P5 合同；D-032 待决</x:v>
      </x:c>
    </x:row>
    <x:row r="37">
      <x:c r="A37" s="32" t="str">
        <x:v>E03</x:v>
      </x:c>
      <x:c r="B37" s="32" t="str">
        <x:v>制作方法</x:v>
      </x:c>
      <x:c r="C37" s="32" t="str">
        <x:v>E 媒介与制作语法</x:v>
      </x:c>
      <x:c r="D37" s="32" t="str">
        <x:v>口播、演示、旁白、对话与纯视觉</x:v>
      </x:c>
      <x:c r="E37" s="30" t="str">
        <x:v>不同表现语法的适用任务、输入和失败模式。</x:v>
      </x:c>
      <x:c r="F37" s="34" t="str">
        <x:v>方法</x:v>
      </x:c>
      <x:c r="G37" s="34" t="str">
        <x:v>主</x:v>
      </x:c>
      <x:c r="H37" s="34" t="str">
        <x:v>主</x:v>
      </x:c>
      <x:c r="I37" s="34" t="str">
        <x:v>主</x:v>
      </x:c>
      <x:c r="J37" s="34" t="str">
        <x:v>主</x:v>
      </x:c>
      <x:c r="K37" s="34" t="str">
        <x:v>主</x:v>
      </x:c>
      <x:c r="L37" s="30" t="str">
        <x:v>全产品表现层</x:v>
      </x:c>
      <x:c r="M37" s="30" t="str">
        <x:v>表现形式必须服从主要产品价值，不能替代选择/解释/人格/关系/视觉</x:v>
      </x:c>
      <x:c r="N37" s="34" t="str">
        <x:v>P0</x:v>
      </x:c>
      <x:c r="O37" s="34" t="str">
        <x:v>第4批 P5/媒介</x:v>
      </x:c>
      <x:c r="P37" s="34" t="str">
        <x:v>稳定部分可建</x:v>
      </x:c>
      <x:c r="Q37" s="30" t="str">
        <x:v>不把短视频、图文、直播当内容产品</x:v>
      </x:c>
      <x:c r="R37" s="30" t="str">
        <x:v>ADR-013/014</x:v>
      </x:c>
    </x:row>
    <x:row r="38">
      <x:c r="A38" s="32" t="str">
        <x:v>E04</x:v>
      </x:c>
      <x:c r="B38" s="32" t="str">
        <x:v>制作方法</x:v>
      </x:c>
      <x:c r="C38" s="32" t="str">
        <x:v>E 媒介与制作语法</x:v>
      </x:c>
      <x:c r="D38" s="32" t="str">
        <x:v>时长变化下的内容重组</x:v>
      </x:c>
      <x:c r="E38" s="30" t="str">
        <x:v>缩短、延长和跨形式改写时保持主价值、核心事实和品牌/账号身份。</x:v>
      </x:c>
      <x:c r="F38" s="34" t="str">
        <x:v>方法</x:v>
      </x:c>
      <x:c r="G38" s="34" t="str">
        <x:v>主</x:v>
      </x:c>
      <x:c r="H38" s="34" t="str">
        <x:v>主</x:v>
      </x:c>
      <x:c r="I38" s="34" t="str">
        <x:v>主</x:v>
      </x:c>
      <x:c r="J38" s="34" t="str">
        <x:v>主</x:v>
      </x:c>
      <x:c r="K38" s="34" t="str">
        <x:v>主</x:v>
      </x:c>
      <x:c r="L38" s="30" t="str">
        <x:v>D-032 前置稳定原则</x:v>
      </x:c>
      <x:c r="M38" s="30" t="str">
        <x:v>短版必须重组，不机械截断关键判断和边界</x:v>
      </x:c>
      <x:c r="N38" s="34" t="str">
        <x:v>P1</x:v>
      </x:c>
      <x:c r="O38" s="34" t="str">
        <x:v>第4批 P5/媒介</x:v>
      </x:c>
      <x:c r="P38" s="34" t="str">
        <x:v>待D-032细化</x:v>
      </x:c>
      <x:c r="Q38" s="30" t="str">
        <x:v>不冻结统一 15/30/45 秒时长</x:v>
      </x:c>
      <x:c r="R38" s="30" t="str">
        <x:v>项目记忆；D-032 待决</x:v>
      </x:c>
    </x:row>
    <x:row r="39">
      <x:c r="A39" s="32" t="str">
        <x:v>E05</x:v>
      </x:c>
      <x:c r="B39" s="32" t="str">
        <x:v>制作方法</x:v>
      </x:c>
      <x:c r="C39" s="32" t="str">
        <x:v>E 媒介与制作语法</x:v>
      </x:c>
      <x:c r="D39" s="32" t="str">
        <x:v>画面、图片顺序与声音作用</x:v>
      </x:c>
      <x:c r="E39" s="30" t="str">
        <x:v>观看路径、画面主次、动作展开、环境声和转场声的稳定作用。</x:v>
      </x:c>
      <x:c r="F39" s="34" t="str">
        <x:v>方法</x:v>
      </x:c>
      <x:c r="G39" s="34" t="str">
        <x:v>辅</x:v>
      </x:c>
      <x:c r="H39" s="34" t="str">
        <x:v>辅</x:v>
      </x:c>
      <x:c r="I39" s="34" t="str">
        <x:v>辅</x:v>
      </x:c>
      <x:c r="J39" s="34" t="str">
        <x:v>辅</x:v>
      </x:c>
      <x:c r="K39" s="34" t="str">
        <x:v>主</x:v>
      </x:c>
      <x:c r="L39" s="30" t="str">
        <x:v>P5 视觉承重；其他产品共享</x:v>
      </x:c>
      <x:c r="M39" s="30" t="str">
        <x:v>文字和声音可放大视觉命题，但不能替代画面承担 P5 主价值</x:v>
      </x:c>
      <x:c r="N39" s="34" t="str">
        <x:v>P0</x:v>
      </x:c>
      <x:c r="O39" s="34" t="str">
        <x:v>第4批 P5/媒介</x:v>
      </x:c>
      <x:c r="P39" s="34" t="str">
        <x:v>待P5-C/D及D-032</x:v>
      </x:c>
      <x:c r="Q39" s="30" t="str">
        <x:v>不冻结镜头数、图片数和平台音频规格</x:v>
      </x:c>
      <x:c r="R39" s="30" t="str">
        <x:v>P5-C 候选；D-032</x:v>
      </x:c>
    </x:row>
    <x:row r="40">
      <x:c r="A40" s="32" t="str">
        <x:v>F01</x:v>
      </x:c>
      <x:c r="B40" s="32" t="str">
        <x:v>行业模板</x:v>
      </x:c>
      <x:c r="C40" s="32" t="str">
        <x:v>F 行业角色与组织模板</x:v>
      </x:c>
      <x:c r="D40" s="32" t="str">
        <x:v>总部品牌价值角色</x:v>
      </x:c>
      <x:c r="E40" s="30" t="str">
        <x:v>品牌选择、价值取舍、长期承诺和组织判断的冷启动模板。</x:v>
      </x:c>
      <x:c r="F40" s="34" t="str">
        <x:v>模板</x:v>
      </x:c>
      <x:c r="G40" s="34" t="str">
        <x:v>辅</x:v>
      </x:c>
      <x:c r="H40" s="34" t="str">
        <x:v>辅</x:v>
      </x:c>
      <x:c r="I40" s="34" t="str">
        <x:v>主</x:v>
      </x:c>
      <x:c r="J40" s="34" t="str">
        <x:v>辅</x:v>
      </x:c>
      <x:c r="K40" s="34" t="str">
        <x:v>辅</x:v>
      </x:c>
      <x:c r="L40" s="30" t="str">
        <x:v>品牌入驻与总部账号策划</x:v>
      </x:c>
      <x:c r="M40" s="30" t="str">
        <x:v>企业确认后才成为正式角色；不得冒充门店一线经历</x:v>
      </x:c>
      <x:c r="N40" s="34" t="str">
        <x:v>P1</x:v>
      </x:c>
      <x:c r="O40" s="34" t="str">
        <x:v>第3批 C/D/F</x:v>
      </x:c>
      <x:c r="P40" s="34" t="str">
        <x:v>可进入批次3</x:v>
      </x:c>
      <x:c r="Q40" s="30" t="str">
        <x:v>不含真实创始人履历或品牌事实</x:v>
      </x:c>
      <x:c r="R40" s="30" t="str">
        <x:v>战略基线；ADR-005</x:v>
      </x:c>
    </x:row>
    <x:row r="41">
      <x:c r="A41" s="32" t="str">
        <x:v>F02</x:v>
      </x:c>
      <x:c r="B41" s="32" t="str">
        <x:v>行业模板</x:v>
      </x:c>
      <x:c r="C41" s="32" t="str">
        <x:v>F 行业角色与组织模板</x:v>
      </x:c>
      <x:c r="D41" s="32" t="str">
        <x:v>总部专业权威角色</x:v>
      </x:c>
      <x:c r="E41" s="30" t="str">
        <x:v>设计、商品、面料、版型、零售服务等专业角色原型。</x:v>
      </x:c>
      <x:c r="F41" s="34" t="str">
        <x:v>模板</x:v>
      </x:c>
      <x:c r="G41" s="34" t="str">
        <x:v>主</x:v>
      </x:c>
      <x:c r="H41" s="34" t="str">
        <x:v>主</x:v>
      </x:c>
      <x:c r="I41" s="34" t="str">
        <x:v>辅</x:v>
      </x:c>
      <x:c r="J41" s="34" t="str">
        <x:v>辅</x:v>
      </x:c>
      <x:c r="K41" s="34" t="str">
        <x:v>辅</x:v>
      </x:c>
      <x:c r="L41" s="30" t="str">
        <x:v>P1/P2 专业账号冷启动</x:v>
      </x:c>
      <x:c r="M41" s="30" t="str">
        <x:v>有品牌确认理由才可用第一人称设计/开发口径</x:v>
      </x:c>
      <x:c r="N41" s="34" t="str">
        <x:v>P0</x:v>
      </x:c>
      <x:c r="O41" s="34" t="str">
        <x:v>第3批 C/D/F</x:v>
      </x:c>
      <x:c r="P41" s="34" t="str">
        <x:v>可进入批次3</x:v>
      </x:c>
      <x:c r="Q41" s="30" t="str">
        <x:v>不等于系统权限；不能冒充区域/门店身份</x:v>
      </x:c>
      <x:c r="R41" s="30" t="str">
        <x:v>ADR-005；P1-B/P2</x:v>
      </x:c>
    </x:row>
    <x:row r="42">
      <x:c r="A42" s="32" t="str">
        <x:v>F03</x:v>
      </x:c>
      <x:c r="B42" s="32" t="str">
        <x:v>行业模板</x:v>
      </x:c>
      <x:c r="C42" s="32" t="str">
        <x:v>F 行业角色与组织模板</x:v>
      </x:c>
      <x:c r="D42" s="32" t="str">
        <x:v>区域经营角色</x:v>
      </x:c>
      <x:c r="E42" s="30" t="str">
        <x:v>区域气候、城市结构、消费节奏和渠道经营转译的角色原型。</x:v>
      </x:c>
      <x:c r="F42" s="34" t="str">
        <x:v>模板</x:v>
      </x:c>
      <x:c r="G42" s="34" t="str">
        <x:v>辅</x:v>
      </x:c>
      <x:c r="H42" s="34" t="str">
        <x:v>辅</x:v>
      </x:c>
      <x:c r="I42" s="34" t="str">
        <x:v>辅</x:v>
      </x:c>
      <x:c r="J42" s="34" t="str">
        <x:v>主</x:v>
      </x:c>
      <x:c r="K42" s="34" t="str">
        <x:v>辅</x:v>
      </x:c>
      <x:c r="L42" s="30" t="str">
        <x:v>P4 区域关系；矩阵编排</x:v>
      </x:c>
      <x:c r="M42" s="30" t="str">
        <x:v>区域转译不得覆盖品牌核心或虚构当地人群事实</x:v>
      </x:c>
      <x:c r="N42" s="34" t="str">
        <x:v>P1</x:v>
      </x:c>
      <x:c r="O42" s="34" t="str">
        <x:v>第3批 C/D/F</x:v>
      </x:c>
      <x:c r="P42" s="34" t="str">
        <x:v>可进入批次3</x:v>
      </x:c>
      <x:c r="Q42" s="30" t="str">
        <x:v>不自动取得总部设计身份或门店私人素材</x:v>
      </x:c>
      <x:c r="R42" s="30" t="str">
        <x:v>战略基线；P4 合同</x:v>
      </x:c>
    </x:row>
    <x:row r="43">
      <x:c r="A43" s="32" t="str">
        <x:v>F04</x:v>
      </x:c>
      <x:c r="B43" s="32" t="str">
        <x:v>行业模板</x:v>
      </x:c>
      <x:c r="C43" s="32" t="str">
        <x:v>F 行业角色与组织模板</x:v>
      </x:c>
      <x:c r="D43" s="32" t="str">
        <x:v>终端关系角色</x:v>
      </x:c>
      <x:c r="E43" s="30" t="str">
        <x:v>店长、导购、搭配顾问和门店团队的服务与近场关系原型。</x:v>
      </x:c>
      <x:c r="F43" s="34" t="str">
        <x:v>模板</x:v>
      </x:c>
      <x:c r="G43" s="34" t="str">
        <x:v>主</x:v>
      </x:c>
      <x:c r="H43" s="34" t="str">
        <x:v>辅</x:v>
      </x:c>
      <x:c r="I43" s="34" t="str">
        <x:v>主</x:v>
      </x:c>
      <x:c r="J43" s="34" t="str">
        <x:v>主</x:v>
      </x:c>
      <x:c r="K43" s="34" t="str">
        <x:v>辅</x:v>
      </x:c>
      <x:c r="L43" s="30" t="str">
        <x:v>P1/P3/P4 终端账号冷启动</x:v>
      </x:c>
      <x:c r="M43" s="30" t="str">
        <x:v>可讲服务与生活，但不得替实际操作人生成未经配置的真实履历</x:v>
      </x:c>
      <x:c r="N43" s="34" t="str">
        <x:v>P0</x:v>
      </x:c>
      <x:c r="O43" s="34" t="str">
        <x:v>第3批 C/D/F</x:v>
      </x:c>
      <x:c r="P43" s="34" t="str">
        <x:v>可进入批次3</x:v>
      </x:c>
      <x:c r="Q43" s="30" t="str">
        <x:v>不建立顾客 CRM，不把真人身份与 ContentRole 合并</x:v>
      </x:c>
      <x:c r="R43" s="30" t="str">
        <x:v>ADR-005；P3/P4</x:v>
      </x:c>
    </x:row>
    <x:row r="44">
      <x:c r="A44" s="32" t="str">
        <x:v>F05</x:v>
      </x:c>
      <x:c r="B44" s="32" t="str">
        <x:v>行业模板</x:v>
      </x:c>
      <x:c r="C44" s="32" t="str">
        <x:v>F 行业角色与组织模板</x:v>
      </x:c>
      <x:c r="D44" s="32" t="str">
        <x:v>三级矩阵冷启动与商品/栏目符号</x:v>
      </x:c>
      <x:c r="E44" s="30" t="str">
        <x:v>一核、三层、五类角色资产的组合原型，以及非真人商品/栏目符号。</x:v>
      </x:c>
      <x:c r="F44" s="34" t="str">
        <x:v>模板</x:v>
      </x:c>
      <x:c r="G44" s="34" t="str">
        <x:v>辅</x:v>
      </x:c>
      <x:c r="H44" s="34" t="str">
        <x:v>辅</x:v>
      </x:c>
      <x:c r="I44" s="34" t="str">
        <x:v>辅</x:v>
      </x:c>
      <x:c r="J44" s="34" t="str">
        <x:v>辅</x:v>
      </x:c>
      <x:c r="K44" s="34" t="str">
        <x:v>辅</x:v>
      </x:c>
      <x:c r="L44" s="30" t="str">
        <x:v>品牌入驻、IP 矩阵和账号冷启动</x:v>
      </x:c>
      <x:c r="M44" s="30" t="str">
        <x:v>模板只提供起点；企业可组合、删改或选择都不像</x:v>
      </x:c>
      <x:c r="N44" s="34" t="str">
        <x:v>P1</x:v>
      </x:c>
      <x:c r="O44" s="34" t="str">
        <x:v>第3批 C/D/F</x:v>
      </x:c>
      <x:c r="P44" s="34" t="str">
        <x:v>可进入批次3</x:v>
      </x:c>
      <x:c r="Q44" s="30" t="str">
        <x:v>不把总部先行、固定账号数量或内容比例写成全租户强制规则</x:v>
      </x:c>
      <x:c r="R44" s="30" t="str">
        <x:v>战略基线；项目记忆</x:v>
      </x:c>
    </x:row>
    <x:row r="45">
      <x:c r="A45" s="32" t="str">
        <x:v>H01</x:v>
      </x:c>
      <x:c r="B45" s="32" t="str">
        <x:v>评测规则</x:v>
      </x:c>
      <x:c r="C45" s="32" t="str">
        <x:v>H 评测与质量标准</x:v>
      </x:c>
      <x:c r="D45" s="32" t="str">
        <x:v>主要产品路由与主任务损失测试</x:v>
      </x:c>
      <x:c r="E45" s="30" t="str">
        <x:v>按受众主要变化和删去哪项价值会失效，确定唯一 P1—P5 主合同。</x:v>
      </x:c>
      <x:c r="F45" s="34" t="str">
        <x:v>hard_gate</x:v>
      </x:c>
      <x:c r="G45" s="34" t="str">
        <x:v>主</x:v>
      </x:c>
      <x:c r="H45" s="34" t="str">
        <x:v>主</x:v>
      </x:c>
      <x:c r="I45" s="34" t="str">
        <x:v>主</x:v>
      </x:c>
      <x:c r="J45" s="34" t="str">
        <x:v>主</x:v>
      </x:c>
      <x:c r="K45" s="34" t="str">
        <x:v>主</x:v>
      </x:c>
      <x:c r="L45" s="30" t="str">
        <x:v>产品路由</x:v>
      </x:c>
      <x:c r="M45" s="30" t="str">
        <x:v>不能按商品、生活、门店、搭配等关键词直接分类</x:v>
      </x:c>
      <x:c r="N45" s="34" t="str">
        <x:v>P0</x:v>
      </x:c>
      <x:c r="O45" s="34" t="str">
        <x:v>第5批 评测与导入</x:v>
      </x:c>
      <x:c r="P45" s="34" t="str">
        <x:v>已确认可编译</x:v>
      </x:c>
      <x:c r="Q45" s="30" t="str">
        <x:v>共享能力不产生第二产品合同</x:v>
      </x:c>
      <x:c r="R45" s="30" t="str">
        <x:v>ADR-013/014</x:v>
      </x:c>
    </x:row>
    <x:row r="46">
      <x:c r="A46" s="32" t="str">
        <x:v>H02</x:v>
      </x:c>
      <x:c r="B46" s="32" t="str">
        <x:v>评测规则</x:v>
      </x:c>
      <x:c r="C46" s="32" t="str">
        <x:v>H 评测与质量标准</x:v>
      </x:c>
      <x:c r="D46" s="32" t="str">
        <x:v>品牌相关性与反事实敏感性</x:v>
      </x:c>
      <x:c r="E46" s="30" t="str">
        <x:v>验证品牌、账号、商品或地域是否实质改变观点、证据、结构、视觉或服务动作。</x:v>
      </x:c>
      <x:c r="F46" s="34" t="str">
        <x:v>hard_gate + offline_test</x:v>
      </x:c>
      <x:c r="G46" s="34" t="str">
        <x:v>主</x:v>
      </x:c>
      <x:c r="H46" s="34" t="str">
        <x:v>主</x:v>
      </x:c>
      <x:c r="I46" s="34" t="str">
        <x:v>主</x:v>
      </x:c>
      <x:c r="J46" s="34" t="str">
        <x:v>主</x:v>
      </x:c>
      <x:c r="K46" s="34" t="str">
        <x:v>主</x:v>
      </x:c>
      <x:c r="L46" s="30" t="str">
        <x:v>所有品牌成品</x:v>
      </x:c>
      <x:c r="M46" s="30" t="str">
        <x:v>一个强锚点可成立；不按锚点数量机械通过</x:v>
      </x:c>
      <x:c r="N46" s="34" t="str">
        <x:v>P0</x:v>
      </x:c>
      <x:c r="O46" s="34" t="str">
        <x:v>第5批 评测与导入</x:v>
      </x:c>
      <x:c r="P46" s="34" t="str">
        <x:v>已确认可编译</x:v>
      </x:c>
      <x:c r="Q46" s="30" t="str">
        <x:v>日常不额外生成多篇对照；完整测试只离线</x:v>
      </x:c>
      <x:c r="R46" s="30" t="str">
        <x:v>ADR-013/014</x:v>
      </x:c>
    </x:row>
    <x:row r="47">
      <x:c r="A47" s="32" t="str">
        <x:v>H03</x:v>
      </x:c>
      <x:c r="B47" s="32" t="str">
        <x:v>评测规则</x:v>
      </x:c>
      <x:c r="C47" s="32" t="str">
        <x:v>H 评测与质量标准</x:v>
      </x:c>
      <x:c r="D47" s="32" t="str">
        <x:v>用户前提忠实与创作权限</x:v>
      </x:c>
      <x:c r="E47" s="30" t="str">
        <x:v>真实种子默认充分增益，身份、关系、结果、时间地点数量和硬事实必须忠实。</x:v>
      </x:c>
      <x:c r="F47" s="34" t="str">
        <x:v>hard_gate</x:v>
      </x:c>
      <x:c r="G47" s="34" t="str">
        <x:v>主</x:v>
      </x:c>
      <x:c r="H47" s="34" t="str">
        <x:v>主</x:v>
      </x:c>
      <x:c r="I47" s="34" t="str">
        <x:v>主</x:v>
      </x:c>
      <x:c r="J47" s="34" t="str">
        <x:v>主</x:v>
      </x:c>
      <x:c r="K47" s="34" t="str">
        <x:v>主</x:v>
      </x:c>
      <x:c r="L47" s="30" t="str">
        <x:v>所有产品创作边界</x:v>
      </x:c>
      <x:c r="M47" s="30" t="str">
        <x:v>完整戏剧化须用户明确要求或明确演绎呈现</x:v>
      </x:c>
      <x:c r="N47" s="34" t="str">
        <x:v>P0</x:v>
      </x:c>
      <x:c r="O47" s="34" t="str">
        <x:v>第5批 评测与导入</x:v>
      </x:c>
      <x:c r="P47" s="34" t="str">
        <x:v>已确认可编译</x:v>
      </x:c>
      <x:c r="Q47" s="30" t="str">
        <x:v>不逐句标注，不保存模型隐藏推理</x:v>
      </x:c>
      <x:c r="R47" s="30" t="str">
        <x:v>ADR-014</x:v>
      </x:c>
    </x:row>
    <x:row r="48">
      <x:c r="A48" s="32" t="str">
        <x:v>H04</x:v>
      </x:c>
      <x:c r="B48" s="32" t="str">
        <x:v>评测规则</x:v>
      </x:c>
      <x:c r="C48" s="32" t="str">
        <x:v>H 评测与质量标准</x:v>
      </x:c>
      <x:c r="D48" s="32" t="str">
        <x:v>领域知识硬度误用</x:v>
      </x:c>
      <x:c r="E48" s="30" t="str">
        <x:v>检查确定性、条件性和创意候选是否按正确口吻和边界使用。</x:v>
      </x:c>
      <x:c r="F48" s="34" t="str">
        <x:v>quality_criterion + offline_test</x:v>
      </x:c>
      <x:c r="G48" s="34" t="str">
        <x:v>主</x:v>
      </x:c>
      <x:c r="H48" s="34" t="str">
        <x:v>主</x:v>
      </x:c>
      <x:c r="I48" s="34" t="str">
        <x:v>辅</x:v>
      </x:c>
      <x:c r="J48" s="34" t="str">
        <x:v>辅</x:v>
      </x:c>
      <x:c r="K48" s="34" t="str">
        <x:v>主</x:v>
      </x:c>
      <x:c r="L48" s="30" t="str">
        <x:v>知识调用质量</x:v>
      </x:c>
      <x:c r="M48" s="30" t="str">
        <x:v>条件遗漏、审美绝对化、商品事实偷换均判失败</x:v>
      </x:c>
      <x:c r="N48" s="34" t="str">
        <x:v>P0</x:v>
      </x:c>
      <x:c r="O48" s="34" t="str">
        <x:v>第5批 评测与导入</x:v>
      </x:c>
      <x:c r="P48" s="34" t="str">
        <x:v>本批待确认</x:v>
      </x:c>
      <x:c r="Q48" s="30" t="str">
        <x:v>不伪造置信分、证据等级或永久阈值</x:v>
      </x:c>
      <x:c r="R48" s="30" t="str">
        <x:v>本批硬度手册；ADR-014</x:v>
      </x:c>
    </x:row>
    <x:row r="49">
      <x:c r="A49" s="32" t="str">
        <x:v>H05</x:v>
      </x:c>
      <x:c r="B49" s="32" t="str">
        <x:v>评测规则</x:v>
      </x:c>
      <x:c r="C49" s="32" t="str">
        <x:v>H 评测与质量标准</x:v>
      </x:c>
      <x:c r="D49" s="32" t="str">
        <x:v>P1/P2 专业价值门</x:v>
      </x:c>
      <x:c r="E49" s="30" t="str">
        <x:v>P1 必须形成条件性选择结果；P2 必须形成一条真实商品认知主线。</x:v>
      </x:c>
      <x:c r="F49" s="34" t="str">
        <x:v>hard_gate + quality_criterion</x:v>
      </x:c>
      <x:c r="G49" s="34" t="str">
        <x:v>主</x:v>
      </x:c>
      <x:c r="H49" s="34" t="str">
        <x:v>主</x:v>
      </x:c>
      <x:c r="I49" s="34" t="str"/>
      <x:c r="J49" s="34" t="str"/>
      <x:c r="K49" s="34" t="str"/>
      <x:c r="L49" s="30" t="str">
        <x:v>P1/P2 专属验收</x:v>
      </x:c>
      <x:c r="M49" s="30" t="str">
        <x:v>事实正确但无选择价值/商品认知仍失败</x:v>
      </x:c>
      <x:c r="N49" s="34" t="str">
        <x:v>P0</x:v>
      </x:c>
      <x:c r="O49" s="34" t="str">
        <x:v>第5批 评测与导入</x:v>
      </x:c>
      <x:c r="P49" s="34" t="str">
        <x:v>已通过黄金基线</x:v>
      </x:c>
      <x:c r="Q49" s="30" t="str">
        <x:v>不把专业内容写成课堂、说明书或隐蔽卖货</x:v>
      </x:c>
      <x:c r="R49" s="30" t="str">
        <x:v>P1/P2 合同；TODO</x:v>
      </x:c>
    </x:row>
    <x:row r="50">
      <x:c r="A50" s="32" t="str">
        <x:v>H06</x:v>
      </x:c>
      <x:c r="B50" s="32" t="str">
        <x:v>评测规则</x:v>
      </x:c>
      <x:c r="C50" s="32" t="str">
        <x:v>H 评测与质量标准</x:v>
      </x:c>
      <x:c r="D50" s="32" t="str">
        <x:v>P3/P4 人格与在地关系门</x:v>
      </x:c>
      <x:c r="E50" s="30" t="str">
        <x:v>P3 增加可识别人格反应；P4 形成在地关系命题、账号回应和受众关系回报。</x:v>
      </x:c>
      <x:c r="F50" s="34" t="str">
        <x:v>hard_gate + quality_criterion</x:v>
      </x:c>
      <x:c r="G50" s="34" t="str"/>
      <x:c r="H50" s="34" t="str"/>
      <x:c r="I50" s="34" t="str">
        <x:v>主</x:v>
      </x:c>
      <x:c r="J50" s="34" t="str">
        <x:v>主</x:v>
      </x:c>
      <x:c r="K50" s="34" t="str"/>
      <x:c r="L50" s="30" t="str">
        <x:v>P3/P4 专属验收</x:v>
      </x:c>
      <x:c r="M50" s="30" t="str">
        <x:v>反鸡汤、反换城市名、账号位置真实性和公共观看价值</x:v>
      </x:c>
      <x:c r="N50" s="34" t="str">
        <x:v>P0</x:v>
      </x:c>
      <x:c r="O50" s="34" t="str">
        <x:v>第5批 评测与导入</x:v>
      </x:c>
      <x:c r="P50" s="34" t="str">
        <x:v>已通过黄金基线</x:v>
      </x:c>
      <x:c r="Q50" s="30" t="str">
        <x:v>不以商品/Logo/CTA 自证品牌相关</x:v>
      </x:c>
      <x:c r="R50" s="30" t="str">
        <x:v>P3/P4 合同；TODO</x:v>
      </x:c>
    </x:row>
    <x:row r="51">
      <x:c r="A51" s="32" t="str">
        <x:v>H07</x:v>
      </x:c>
      <x:c r="B51" s="32" t="str">
        <x:v>评测规则</x:v>
      </x:c>
      <x:c r="C51" s="32" t="str">
        <x:v>H 评测与质量标准</x:v>
      </x:c>
      <x:c r="D51" s="32" t="str">
        <x:v>P5 真实商品、视觉承重与陈列反向路由</x:v>
      </x:c>
      <x:c r="E51" s="30" t="str">
        <x:v>真实商品锚定、商品本体忠实、画面承担主价值、当前条件可执行，并与经营陈列分离。</x:v>
      </x:c>
      <x:c r="F51" s="34" t="str">
        <x:v>hard_gate + offline_test</x:v>
      </x:c>
      <x:c r="G51" s="34" t="str"/>
      <x:c r="H51" s="34" t="str"/>
      <x:c r="I51" s="34" t="str"/>
      <x:c r="J51" s="34" t="str"/>
      <x:c r="K51" s="34" t="str">
        <x:v>主</x:v>
      </x:c>
      <x:c r="L51" s="30" t="str">
        <x:v>P5 专属验收</x:v>
      </x:c>
      <x:c r="M51" s="30" t="str">
        <x:v>商品/品牌替换、视觉承重移除、陈列任务反向路由</x:v>
      </x:c>
      <x:c r="N51" s="34" t="str">
        <x:v>P0</x:v>
      </x:c>
      <x:c r="O51" s="34" t="str">
        <x:v>第5批 评测与导入</x:v>
      </x:c>
      <x:c r="P51" s="34" t="str">
        <x:v>待P5-C/D关闭</x:v>
      </x:c>
      <x:c r="Q51" s="30" t="str">
        <x:v>无 Logo 识别是成熟度指标，不是首期硬门</x:v>
      </x:c>
      <x:c r="R51" s="30" t="str">
        <x:v>P5-A/B；P5-C/D待决；ADR-002</x:v>
      </x:c>
    </x:row>
    <x:row r="52">
      <x:c r="A52" s="32" t="str">
        <x:v>H08</x:v>
      </x:c>
      <x:c r="B52" s="32" t="str">
        <x:v>评测规则</x:v>
      </x:c>
      <x:c r="C52" s="32" t="str">
        <x:v>H 评测与质量标准</x:v>
      </x:c>
      <x:c r="D52" s="32" t="str">
        <x:v>在线轻检、离线完整测试与成熟度指标</x:v>
      </x:c>
      <x:c r="E52" s="30" t="str">
        <x:v>日常只做权限、前提、主任务、品牌相关、明显模板化和可制作检查；完整对照离线执行。</x:v>
      </x:c>
      <x:c r="F52" s="34" t="str">
        <x:v>quality_criterion + offline_test + maturity_indicator</x:v>
      </x:c>
      <x:c r="G52" s="34" t="str">
        <x:v>主</x:v>
      </x:c>
      <x:c r="H52" s="34" t="str">
        <x:v>主</x:v>
      </x:c>
      <x:c r="I52" s="34" t="str">
        <x:v>主</x:v>
      </x:c>
      <x:c r="J52" s="34" t="str">
        <x:v>主</x:v>
      </x:c>
      <x:c r="K52" s="34" t="str">
        <x:v>主</x:v>
      </x:c>
      <x:c r="L52" s="30" t="str">
        <x:v>评测分层</x:v>
      </x:c>
      <x:c r="M52" s="30" t="str">
        <x:v>阈值、抽样率、模型评委和永久权重必须由真实评测校准</x:v>
      </x:c>
      <x:c r="N52" s="34" t="str">
        <x:v>P0</x:v>
      </x:c>
      <x:c r="O52" s="34" t="str">
        <x:v>第5批 评测与导入</x:v>
      </x:c>
      <x:c r="P52" s="34" t="str">
        <x:v>已确认可编译</x:v>
      </x:c>
      <x:c r="Q52" s="30" t="str">
        <x:v>不建设用户评测面板、在线全量反事实或自动自修改系统</x:v>
      </x:c>
      <x:c r="R52" s="30" t="str">
        <x:v>ADR-014；ADR-010</x:v>
      </x:c>
    </x:row>
    <x:row r="53">
      <x:c r="A53" s="32" t="str">
        <x:v>G01</x:v>
      </x:c>
      <x:c r="B53" s="32" t="str">
        <x:v>延后模块</x:v>
      </x:c>
      <x:c r="C53" s="32" t="str">
        <x:v>G 零售经营陈列知识</x:v>
      </x:c>
      <x:c r="D53" s="32" t="str">
        <x:v>经营陈列模块命名空间与共享边界</x:v>
      </x:c>
      <x:c r="E53" s="30" t="str">
        <x:v>只保留 display-merchandising 稳定模块标识、与内容 P5 的边界及中性 ProductComposition 共享关系。</x:v>
      </x:c>
      <x:c r="F53" s="34" t="str">
        <x:v>延后</x:v>
      </x:c>
      <x:c r="G53" s="34" t="str"/>
      <x:c r="H53" s="34" t="str"/>
      <x:c r="I53" s="34" t="str"/>
      <x:c r="J53" s="34" t="str"/>
      <x:c r="K53" s="34" t="str"/>
      <x:c r="L53" s="30" t="str">
        <x:v>未来经营陈列应用</x:v>
      </x:c>
      <x:c r="M53" s="30" t="str">
        <x:v>概念上留边界，工程上不建空库、空表、空接口</x:v>
      </x:c>
      <x:c r="N53" s="34" t="str">
        <x:v>延后</x:v>
      </x:c>
      <x:c r="O53" s="34" t="str">
        <x:v>延后</x:v>
      </x:c>
      <x:c r="P53" s="34" t="str">
        <x:v>首版不建设</x:v>
      </x:c>
      <x:c r="Q53" s="30" t="str">
        <x:v>不生产陈列区域、载体、销售连带、巡检和整改知识正文</x:v>
      </x:c>
      <x:c r="R53" s="30" t="str">
        <x:v>ADR-002；ADR-003</x:v>
      </x:c>
    </x:row>
  </x:sheetData>
  <x:mergeCells>
    <x:mergeCell ref="A1:R1"/>
    <x:mergeCell ref="A2:R2"/>
  </x:mergeCells>
  <x:conditionalFormatting sqref="N5:N53">
    <x:cfRule type="expression" dxfId="0" priority="1">
      <x:formula>N5="P0"</x:formula>
    </x:cfRule>
  </x:conditionalFormatting>
  <x:conditionalFormatting sqref="P5:P53">
    <x:cfRule type="expression" dxfId="1" priority="2">
      <x:formula>ISNUMBER(SEARCH("待",P5))</x:formula>
    </x:cfRule>
    <x:cfRule type="expression" dxfId="2" priority="3">
      <x:formula>ISNUMBER(SEARCH("已",P5))</x:formula>
    </x:cfRule>
    <x:cfRule type="expression" dxfId="3" priority="4">
      <x:formula>ISNUMBER(SEARCH("首版不建设",P5))</x:formula>
    </x:cfRule>
  </x:conditionalFormatting>
  <x:dataValidations count="2">
    <x:dataValidation type="list" sqref="N5:N53">
      <x:formula1>"P0,P1,P2,延后"</x:formula1>
    </x:dataValidation>
    <x:dataValidation type="list" sqref="P5:P53">
      <x:formula1>"可进入批次2,可进入批次3,稳定部分可建,待P5-C/D关闭,待D-032细化,待P5-C/D及D-032,已确认可编译,已通过黄金基线,本批待确认,首版不建设"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99f532b4714b8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4" max="4" width="26" hidden="0" customWidth="1"/>
    <x:col min="5" max="5" width="12" hidden="0" customWidth="1"/>
  </x:cols>
  <x:sheetData>
    <x:row r="1">
      <x:c r="A1" s="5" t="str">
        <x:v>知识需求摘要</x:v>
      </x:c>
      <x:c r="B1" s="5"/>
      <x:c r="C1" s="5"/>
      <x:c r="D1" s="5"/>
      <x:c r="E1" s="5"/>
      <x:c r="F1" s="5"/>
      <x:c r="G1" s="5"/>
      <x:c r="H1" s="5"/>
    </x:row>
    <x:row r="3">
      <x:c r="A3" s="22" t="str">
        <x:v>产品</x:v>
      </x:c>
      <x:c r="B3" s="22" t="str">
        <x:v>涉及主题数</x:v>
      </x:c>
      <x:c r="C3" s="36"/>
      <x:c r="D3" s="22" t="str">
        <x:v>范畴</x:v>
      </x:c>
      <x:c r="E3" s="22" t="str">
        <x:v>主题数</x:v>
      </x:c>
    </x:row>
    <x:row r="4">
      <x:c r="A4" s="37" t="str">
        <x:v>P1</x:v>
      </x:c>
      <x:c r="B4" s="37" t="n">
        <x:f>COUNTIF('需求矩阵'!$G$5:$G$53,"主")+COUNTIF('需求矩阵'!$G$5:$G$53,"辅")</x:f>
        <x:v>44</x:v>
      </x:c>
      <x:c r="C4" s="36"/>
      <x:c r="D4" s="37" t="str">
        <x:v>A 商品与穿着知识</x:v>
      </x:c>
      <x:c r="E4" s="37" t="n">
        <x:f>COUNTIF('需求矩阵'!$C$5:$C$53,D4)</x:f>
        <x:v>8</x:v>
      </x:c>
    </x:row>
    <x:row r="5">
      <x:c r="A5" s="37" t="str">
        <x:v>P2</x:v>
      </x:c>
      <x:c r="B5" s="37" t="n">
        <x:f>COUNTIF('需求矩阵'!$H$5:$H$53,"主")+COUNTIF('需求矩阵'!$H$5:$H$53,"辅")</x:f>
        <x:v>38</x:v>
      </x:c>
      <x:c r="C5" s="36"/>
      <x:c r="D5" s="37" t="str">
        <x:v>B 穿搭与造型方法</x:v>
      </x:c>
      <x:c r="E5" s="37" t="n">
        <x:f>COUNTIF('需求矩阵'!$C$5:$C$53,D5)</x:f>
        <x:v>8</x:v>
      </x:c>
    </x:row>
    <x:row r="6">
      <x:c r="A6" s="37" t="str">
        <x:v>P3</x:v>
      </x:c>
      <x:c r="B6" s="37" t="n">
        <x:f>COUNTIF('需求矩阵'!$I$5:$I$53,"主")+COUNTIF('需求矩阵'!$I$5:$I$53,"辅")</x:f>
        <x:v>34</x:v>
      </x:c>
      <x:c r="C6" s="36"/>
      <x:c r="D6" s="37" t="str">
        <x:v>C 人群与生活场景</x:v>
      </x:c>
      <x:c r="E6" s="37" t="n">
        <x:f>COUNTIF('需求矩阵'!$C$5:$C$53,D6)</x:f>
        <x:v>6</x:v>
      </x:c>
    </x:row>
    <x:row r="7">
      <x:c r="A7" s="37" t="str">
        <x:v>P4</x:v>
      </x:c>
      <x:c r="B7" s="37" t="n">
        <x:f>COUNTIF('需求矩阵'!$J$5:$J$53,"主")+COUNTIF('需求矩阵'!$J$5:$J$53,"辅")</x:f>
        <x:v>35</x:v>
      </x:c>
      <x:c r="C7" s="36"/>
      <x:c r="D7" s="37" t="str">
        <x:v>D 创作与叙事方法</x:v>
      </x:c>
      <x:c r="E7" s="37" t="n">
        <x:f>COUNTIF('需求矩阵'!$C$5:$C$53,D7)</x:f>
        <x:v>8</x:v>
      </x:c>
    </x:row>
    <x:row r="8">
      <x:c r="A8" s="37" t="str">
        <x:v>P5</x:v>
      </x:c>
      <x:c r="B8" s="37" t="n">
        <x:f>COUNTIF('需求矩阵'!$K$5:$K$53,"主")+COUNTIF('需求矩阵'!$K$5:$K$53,"辅")</x:f>
        <x:v>41</x:v>
      </x:c>
      <x:c r="C8" s="36"/>
      <x:c r="D8" s="37" t="str">
        <x:v>E 媒介与制作语法</x:v>
      </x:c>
      <x:c r="E8" s="37" t="n">
        <x:f>COUNTIF('需求矩阵'!$C$5:$C$53,D8)</x:f>
        <x:v>5</x:v>
      </x:c>
    </x:row>
    <x:row r="9">
      <x:c r="A9" s="36"/>
      <x:c r="B9" s="36"/>
      <x:c r="C9" s="36"/>
      <x:c r="D9" s="37" t="str">
        <x:v>F 行业角色与组织模板</x:v>
      </x:c>
      <x:c r="E9" s="37" t="n">
        <x:f>COUNTIF('需求矩阵'!$C$5:$C$53,D9)</x:f>
        <x:v>5</x:v>
      </x:c>
    </x:row>
    <x:row r="10">
      <x:c r="A10" s="36"/>
      <x:c r="B10" s="36"/>
      <x:c r="C10" s="36"/>
      <x:c r="D10" s="37" t="str">
        <x:v>G 零售经营陈列知识</x:v>
      </x:c>
      <x:c r="E10" s="37" t="n">
        <x:f>COUNTIF('需求矩阵'!$C$5:$C$53,D10)</x:f>
        <x:v>1</x:v>
      </x:c>
    </x:row>
    <x:row r="11">
      <x:c r="A11" s="22" t="str">
        <x:v>关键状态</x:v>
      </x:c>
      <x:c r="B11" s="22" t="str">
        <x:v>数量</x:v>
      </x:c>
      <x:c r="C11" s="36"/>
      <x:c r="D11" s="37" t="str">
        <x:v>H 评测与质量标准</x:v>
      </x:c>
      <x:c r="E11" s="37" t="n">
        <x:f>COUNTIF('需求矩阵'!$C$5:$C$53,D11)</x:f>
        <x:v>8</x:v>
      </x:c>
    </x:row>
    <x:row r="12">
      <x:c r="A12" s="36" t="str">
        <x:v>P0 主题</x:v>
      </x:c>
      <x:c r="B12" s="36" t="n">
        <x:f>COUNTIF('需求矩阵'!$N$5:$N$53,"P0")</x:f>
        <x:v>34</x:v>
      </x:c>
      <x:c r="C12" s="36"/>
      <x:c r="D12" s="36"/>
      <x:c r="E12" s="36"/>
    </x:row>
    <x:row r="13">
      <x:c r="A13" s="36" t="str">
        <x:v>待 P5 收口</x:v>
      </x:c>
      <x:c r="B13" s="36" t="n">
        <x:f>COUNTIF('需求矩阵'!$P$5:$P$53,"待P5-C/D关闭")+COUNTIF('需求矩阵'!$P$5:$P$53,"待P5-C/D及D-032")</x:f>
        <x:v>3</x:v>
      </x:c>
      <x:c r="C13" s="36"/>
      <x:c r="D13" s="36"/>
      <x:c r="E13" s="36"/>
    </x:row>
    <x:row r="14">
      <x:c r="A14" s="36" t="str">
        <x:v>待 D-032</x:v>
      </x:c>
      <x:c r="B14" s="36" t="n">
        <x:f>COUNTIF('需求矩阵'!$P$5:$P$53,"待D-032细化")+COUNTIF('需求矩阵'!$P$5:$P$53,"待P5-C/D及D-032")</x:f>
        <x:v>3</x:v>
      </x:c>
      <x:c r="C14" s="36"/>
      <x:c r="D14" s="36"/>
      <x:c r="E14" s="36"/>
    </x:row>
    <x:row r="15">
      <x:c r="A15" s="36" t="str">
        <x:v>首版延后</x:v>
      </x:c>
      <x:c r="B15" s="36" t="n">
        <x:f>COUNTIF('需求矩阵'!$P$5:$P$53,"首版不建设")</x:f>
        <x:v>1</x:v>
      </x:c>
      <x:c r="C15" s="36"/>
      <x:c r="D15" s="36"/>
      <x:c r="E15" s="36"/>
    </x:row>
    <x:row r="18">
      <x:c r="A18" s="22" t="str">
        <x:v>当前边界说明</x:v>
      </x:c>
      <x:c r="B18" s="22"/>
      <x:c r="C18" s="22"/>
      <x:c r="D18" s="22"/>
      <x:c r="E18" s="22"/>
      <x:c r="F18" s="22"/>
      <x:c r="G18" s="22"/>
      <x:c r="H18" s="22"/>
    </x:row>
    <x:row r="19">
      <x:c r="A19" s="28" t="str">
        <x:v>P1—P4 已完成专属黄金验收；P5-A/B 已确认，P5-C/D 仍待关闭。</x:v>
      </x:c>
      <x:c r="B19" s="28"/>
      <x:c r="C19" s="28"/>
      <x:c r="D19" s="28"/>
      <x:c r="E19" s="28"/>
      <x:c r="F19" s="28"/>
      <x:c r="G19" s="28"/>
      <x:c r="H19" s="28"/>
    </x:row>
    <x:row r="20">
      <x:c r="A20" s="28" t="str">
        <x:v>本矩阵中的 P5 成品/媒介相关主题保持候选，不冻结平台、时长、镜头数或物理对象。</x:v>
      </x:c>
      <x:c r="B20" s="28"/>
      <x:c r="C20" s="28"/>
      <x:c r="D20" s="28"/>
      <x:c r="E20" s="28"/>
      <x:c r="F20" s="28"/>
      <x:c r="G20" s="28"/>
      <x:c r="H20" s="28"/>
    </x:row>
    <x:row r="21">
      <x:c r="A21" s="28" t="str">
        <x:v>领域知识默认供所有租户任务调用；品牌、商品、账号、门店、个人和动态经营信息不进入通用层。</x:v>
      </x:c>
      <x:c r="B21" s="28"/>
      <x:c r="C21" s="28"/>
      <x:c r="D21" s="28"/>
      <x:c r="E21" s="28"/>
      <x:c r="F21" s="28"/>
      <x:c r="G21" s="28"/>
      <x:c r="H21" s="28"/>
    </x:row>
    <x:row r="22">
      <x:c r="A22" s="28" t="str">
        <x:v>每个实际知识卡只标一个主要硬度；本表出现“拆分为”表示建设时必须拆卡。</x:v>
      </x:c>
      <x:c r="B22" s="28"/>
      <x:c r="C22" s="28"/>
      <x:c r="D22" s="28"/>
      <x:c r="E22" s="28"/>
      <x:c r="F22" s="28"/>
      <x:c r="G22" s="28"/>
      <x:c r="H22" s="28"/>
    </x:row>
  </x:sheetData>
  <x:mergeCells>
    <x:mergeCell ref="A1:H1"/>
    <x:mergeCell ref="A18:H18"/>
    <x:mergeCell ref="A19:H22"/>
    <x:mergeCell ref="A19:H19"/>
    <x:mergeCell ref="A20:H20"/>
    <x:mergeCell ref="A21:H21"/>
    <x:mergeCell ref="A22:H22"/>
  </x:mergeCells>
  <x:pageMargins left="0.7" right="0.7" top="0.75" bottom="0.75" header="0.3" footer="0.3"/>
  <x:drawing xmlns:r="http://schemas.openxmlformats.org/officeDocument/2006/relationships" r:id="R1117ab289daf4820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45" hidden="0" customWidth="1"/>
    <x:col min="4" max="4" width="22" hidden="0" customWidth="1"/>
    <x:col min="5" max="5" width="18" hidden="0" customWidth="1"/>
    <x:col min="6" max="6" width="18" hidden="0" customWidth="1"/>
    <x:col min="7" max="7" width="42" hidden="0" customWidth="1"/>
  </x:cols>
  <x:sheetData>
    <x:row r="1">
      <x:c r="A1" s="5" t="str">
        <x:v>A—H 范畴与资产定位</x:v>
      </x:c>
      <x:c r="B1" s="5"/>
      <x:c r="C1" s="5"/>
      <x:c r="D1" s="5"/>
      <x:c r="E1" s="5"/>
      <x:c r="F1" s="5"/>
      <x:c r="G1" s="5"/>
    </x:row>
    <x:row r="3">
      <x:c r="A3" s="22" t="str">
        <x:v>范畴</x:v>
      </x:c>
      <x:c r="B3" s="22" t="str">
        <x:v>正式定位</x:v>
      </x:c>
      <x:c r="C3" s="22" t="str">
        <x:v>装什么</x:v>
      </x:c>
      <x:c r="D3" s="22" t="str">
        <x:v>主要支持</x:v>
      </x:c>
      <x:c r="E3" s="22" t="str">
        <x:v>主要硬度/类型</x:v>
      </x:c>
      <x:c r="F3" s="22" t="str">
        <x:v>首版状态</x:v>
      </x:c>
      <x:c r="G3" s="22" t="str">
        <x:v>核心边界</x:v>
      </x:c>
    </x:row>
    <x:row r="4">
      <x:c r="A4" s="28" t="str">
        <x:v>A 商品与穿着知识</x:v>
      </x:c>
      <x:c r="B4" s="28" t="str">
        <x:v>领域知识核心</x:v>
      </x:c>
      <x:c r="C4" s="28" t="str">
        <x:v>材质、结构、版型、尺码、合身、品类、洗护</x:v>
      </x:c>
      <x:c r="D4" s="28" t="str">
        <x:v>P1、P2，部分P5</x:v>
      </x:c>
      <x:c r="E4" s="28" t="str">
        <x:v>🟥+🟨</x:v>
      </x:c>
      <x:c r="F4" s="28" t="str">
        <x:v>优先建设</x:v>
      </x:c>
      <x:c r="G4" s="28" t="str">
        <x:v>不含具体商品事实</x:v>
      </x:c>
    </x:row>
    <x:row r="5">
      <x:c r="A5" s="28" t="str">
        <x:v>B 穿搭与造型方法</x:v>
      </x:c>
      <x:c r="B5" s="28" t="str">
        <x:v>领域知识核心</x:v>
      </x:c>
      <x:c r="C5" s="28" t="str">
        <x:v>比例、轮廓、色彩、材质、TPO、组合和造型关系</x:v>
      </x:c>
      <x:c r="D5" s="28" t="str">
        <x:v>P1、P5</x:v>
      </x:c>
      <x:c r="E5" s="28" t="str">
        <x:v>🟨+🟩</x:v>
      </x:c>
      <x:c r="F5" s="28" t="str">
        <x:v>优先建设</x:v>
      </x:c>
      <x:c r="G5" s="28" t="str">
        <x:v>不按人群标签给绝对结论</x:v>
      </x:c>
    </x:row>
    <x:row r="6">
      <x:c r="A6" s="28" t="str">
        <x:v>C 人群与生活场景</x:v>
      </x:c>
      <x:c r="B6" s="28" t="str">
        <x:v>轻量领域知识</x:v>
      </x:c>
      <x:c r="C6" s="28" t="str">
        <x:v>通勤、家庭、旅行、社交、本地关系的通用张力</x:v>
      </x:c>
      <x:c r="D6" s="28" t="str">
        <x:v>P3、P4，部分P1</x:v>
      </x:c>
      <x:c r="E6" s="28" t="str">
        <x:v>🟨+🟩</x:v>
      </x:c>
      <x:c r="F6" s="28" t="str">
        <x:v>轻量建设</x:v>
      </x:c>
      <x:c r="G6" s="28" t="str">
        <x:v>不建画像、故事库和CRM</x:v>
      </x:c>
    </x:row>
    <x:row r="7">
      <x:c r="A7" s="28" t="str">
        <x:v>D 创作与叙事方法</x:v>
      </x:c>
      <x:c r="B7" s="28" t="str">
        <x:v>生成方法库</x:v>
      </x:c>
      <x:c r="C7" s="28" t="str">
        <x:v>判断、解释、反转、观察、问答、演绎、幽默、节奏</x:v>
      </x:c>
      <x:c r="D7" s="28" t="str">
        <x:v>P1—P5</x:v>
      </x:c>
      <x:c r="E7" s="28" t="str">
        <x:v>方法</x:v>
      </x:c>
      <x:c r="F7" s="28" t="str">
        <x:v>建设</x:v>
      </x:c>
      <x:c r="G7" s="28" t="str">
        <x:v>不囤成品模板</x:v>
      </x:c>
    </x:row>
    <x:row r="8">
      <x:c r="A8" s="28" t="str">
        <x:v>E 媒介与制作语法</x:v>
      </x:c>
      <x:c r="B8" s="28" t="str">
        <x:v>制作方法库</x:v>
      </x:c>
      <x:c r="C8" s="28" t="str">
        <x:v>资源与语法解耦、单人制作、形式、时长、观看路径</x:v>
      </x:c>
      <x:c r="D8" s="28" t="str">
        <x:v>P1—P5</x:v>
      </x:c>
      <x:c r="E8" s="28" t="str">
        <x:v>方法</x:v>
      </x:c>
      <x:c r="F8" s="28" t="str">
        <x:v>稳定部分建设</x:v>
      </x:c>
      <x:c r="G8" s="28" t="str">
        <x:v>平台细则待D-032</x:v>
      </x:c>
    </x:row>
    <x:row r="9">
      <x:c r="A9" s="28" t="str">
        <x:v>F 行业角色与组织模板</x:v>
      </x:c>
      <x:c r="B9" s="28" t="str">
        <x:v>行业模板库</x:v>
      </x:c>
      <x:c r="C9" s="28" t="str">
        <x:v>总部、区域、终端与商品/栏目符号原型</x:v>
      </x:c>
      <x:c r="D9" s="28" t="str">
        <x:v>入驻与账号编排</x:v>
      </x:c>
      <x:c r="E9" s="28" t="str">
        <x:v>模板</x:v>
      </x:c>
      <x:c r="F9" s="28" t="str">
        <x:v>建设</x:v>
      </x:c>
      <x:c r="G9" s="28" t="str">
        <x:v>企业确认版本优先</x:v>
      </x:c>
    </x:row>
    <x:row r="10">
      <x:c r="A10" s="28" t="str">
        <x:v>G 零售经营陈列知识</x:v>
      </x:c>
      <x:c r="B10" s="28" t="str">
        <x:v>模块私有知识</x:v>
      </x:c>
      <x:c r="C10" s="28" t="str">
        <x:v>陈列区域、载体、销售连带、执行/巡检/整改</x:v>
      </x:c>
      <x:c r="D10" s="28" t="str">
        <x:v>经营陈列应用</x:v>
      </x:c>
      <x:c r="E10" s="28" t="str">
        <x:v>延后</x:v>
      </x:c>
      <x:c r="F10" s="28" t="str">
        <x:v>首版延后</x:v>
      </x:c>
      <x:c r="G10" s="28" t="str">
        <x:v>只留模块边界，不建空库</x:v>
      </x:c>
    </x:row>
    <x:row r="11">
      <x:c r="A11" s="28" t="str">
        <x:v>H 评测与质量标准</x:v>
      </x:c>
      <x:c r="B11" s="28" t="str">
        <x:v>规范与评测库</x:v>
      </x:c>
      <x:c r="C11" s="28" t="str">
        <x:v>硬门、质量标准、成熟指标、离线变形测试</x:v>
      </x:c>
      <x:c r="D11" s="28" t="str">
        <x:v>P1—P5</x:v>
      </x:c>
      <x:c r="E11" s="28" t="str">
        <x:v>规范</x:v>
      </x:c>
      <x:c r="F11" s="28" t="str">
        <x:v>版本化建设</x:v>
      </x:c>
      <x:c r="G11" s="28" t="str">
        <x:v>不把阈值写成永久真理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42" hidden="0" customWidth="1"/>
    <x:col min="4" max="4" width="28" hidden="0" customWidth="1"/>
    <x:col min="5" max="5" width="36" hidden="0" customWidth="1"/>
    <x:col min="6" max="6" width="38" hidden="0" customWidth="1"/>
    <x:col min="7" max="7" width="24" hidden="0" customWidth="1"/>
  </x:cols>
  <x:sheetData>
    <x:row r="1">
      <x:c r="A1" s="5" t="str">
        <x:v>三种硬度与 H 规则类型</x:v>
      </x:c>
      <x:c r="B1" s="5"/>
      <x:c r="C1" s="5"/>
      <x:c r="D1" s="5"/>
      <x:c r="E1" s="5"/>
      <x:c r="F1" s="5"/>
      <x:c r="G1" s="5"/>
    </x:row>
    <x:row r="3">
      <x:c r="A3" s="22" t="str">
        <x:v>体系</x:v>
      </x:c>
      <x:c r="B3" s="22" t="str">
        <x:v>值</x:v>
      </x:c>
      <x:c r="C3" s="22" t="str">
        <x:v>定义</x:v>
      </x:c>
      <x:c r="D3" s="22" t="str">
        <x:v>生成口吻</x:v>
      </x:c>
      <x:c r="E3" s="22" t="str">
        <x:v>最低结构</x:v>
      </x:c>
      <x:c r="F3" s="22" t="str">
        <x:v>典型错误</x:v>
      </x:c>
      <x:c r="G3" s="22" t="str">
        <x:v>适用范围</x:v>
      </x:c>
    </x:row>
    <x:row r="4">
      <x:c r="A4" s="28" t="str">
        <x:v>知识硬度</x:v>
      </x:c>
      <x:c r="B4" s="28" t="str">
        <x:v>🟥 deterministic_fact</x:v>
      </x:c>
      <x:c r="C4" s="28" t="str">
        <x:v>明确范围内可定义、测量或由标准术语确定</x:v>
      </x:c>
      <x:c r="D4" s="28" t="str">
        <x:v>范围内直接陈述</x:v>
      </x:c>
      <x:c r="E4" s="28" t="str">
        <x:v>statement/scope/method/basis</x:v>
      </x:c>
      <x:c r="F4" s="28" t="str">
        <x:v>越界普遍化；冒充品牌商品事实</x:v>
      </x:c>
      <x:c r="G4" s="28" t="str">
        <x:v>A/B/C中确定性断言</x:v>
      </x:c>
    </x:row>
    <x:row r="5">
      <x:c r="A5" s="28" t="str">
        <x:v>知识硬度</x:v>
      </x:c>
      <x:c r="B5" s="28" t="str">
        <x:v>🟨 conditional_rule</x:v>
      </x:c>
      <x:c r="C5" s="28" t="str">
        <x:v>结果依赖目标、结构、身体/活动、场景或组合条件</x:v>
      </x:c>
      <x:c r="D5" s="28" t="str">
        <x:v>必须条件化</x:v>
      </x:c>
      <x:c r="E5" s="28" t="str">
        <x:v>when/effect/because/tradeoffs/not_when</x:v>
      </x:c>
      <x:c r="F5" s="28" t="str">
        <x:v>把通常写成必然；只写收益</x:v>
      </x:c>
      <x:c r="G5" s="28" t="str">
        <x:v>A/B/C主体</x:v>
      </x:c>
    </x:row>
    <x:row r="6">
      <x:c r="A6" s="28" t="str">
        <x:v>知识硬度</x:v>
      </x:c>
      <x:c r="B6" s="28" t="str">
        <x:v>🟩 creative_candidate</x:v>
      </x:c>
      <x:c r="C6" s="28" t="str">
        <x:v>主观审美、灵感和可选方向</x:v>
      </x:c>
      <x:c r="D6" s="28" t="str">
        <x:v>只能作为候选</x:v>
      </x:c>
      <x:c r="E6" s="28" t="str">
        <x:v>direction/variation/anti_cliche</x:v>
      </x:c>
      <x:c r="F6" s="28" t="str">
        <x:v>冒充行业真理；模板化</x:v>
      </x:c>
      <x:c r="G6" s="28" t="str">
        <x:v>A/B/C创意部分</x:v>
      </x:c>
    </x:row>
    <x:row r="7">
      <x:c r="A7" s="28" t="str">
        <x:v>H规则类型</x:v>
      </x:c>
      <x:c r="B7" s="28" t="str">
        <x:v>hard_gate</x:v>
      </x:c>
      <x:c r="C7" s="28" t="str">
        <x:v>确定性产品或安全边界</x:v>
      </x:c>
      <x:c r="D7" s="28" t="str">
        <x:v>失败不得标记为合格成品</x:v>
      </x:c>
      <x:c r="E7" s="28" t="str">
        <x:v>condition/expected/failure</x:v>
      </x:c>
      <x:c r="F7" s="28" t="str">
        <x:v>把成熟指标当硬门</x:v>
      </x:c>
      <x:c r="G7" s="28" t="str">
        <x:v>在线轻检或明确边界</x:v>
      </x:c>
    </x:row>
    <x:row r="8">
      <x:c r="A8" s="28" t="str">
        <x:v>H规则类型</x:v>
      </x:c>
      <x:c r="B8" s="28" t="str">
        <x:v>quality_criterion</x:v>
      </x:c>
      <x:c r="C8" s="28" t="str">
        <x:v>通过硬门后的质量要求</x:v>
      </x:c>
      <x:c r="D8" s="28" t="str">
        <x:v>后台改写优先</x:v>
      </x:c>
      <x:c r="E8" s="28" t="str">
        <x:v>condition/expected/failure</x:v>
      </x:c>
      <x:c r="F8" s="28" t="str">
        <x:v>概率评委直接阻断</x:v>
      </x:c>
      <x:c r="G8" s="28" t="str">
        <x:v>在线轻检/离线评测</x:v>
      </x:c>
    </x:row>
    <x:row r="9">
      <x:c r="A9" s="28" t="str">
        <x:v>H规则类型</x:v>
      </x:c>
      <x:c r="B9" s="28" t="str">
        <x:v>maturity_indicator</x:v>
      </x:c>
      <x:c r="C9" s="28" t="str">
        <x:v>多篇累积后观察的成熟度</x:v>
      </x:c>
      <x:c r="D9" s="28" t="str">
        <x:v>不阻断首批成品</x:v>
      </x:c>
      <x:c r="E9" s="28" t="str">
        <x:v>metric/context</x:v>
      </x:c>
      <x:c r="F9" s="28" t="str">
        <x:v>无Logo识别硬门化</x:v>
      </x:c>
      <x:c r="G9" s="28" t="str">
        <x:v>长期组合评估</x:v>
      </x:c>
    </x:row>
    <x:row r="10">
      <x:c r="A10" s="28" t="str">
        <x:v>H规则类型</x:v>
      </x:c>
      <x:c r="B10" s="28" t="str">
        <x:v>offline_test</x:v>
      </x:c>
      <x:c r="C10" s="28" t="str">
        <x:v>黄金、回归或诊断抽样的变形测试</x:v>
      </x:c>
      <x:c r="D10" s="28" t="str">
        <x:v>不进入每次生产</x:v>
      </x:c>
      <x:c r="E10" s="28" t="str">
        <x:v>variable/expected/failure</x:v>
      </x:c>
      <x:c r="F10" s="28" t="str">
        <x:v>全量在线多路生成</x:v>
      </x:c>
      <x:c r="G10" s="28" t="str">
        <x:v>离线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5" t="str">
        <x:v>使用说明与当前状态</x:v>
      </x:c>
      <x:c r="B1" s="5"/>
      <x:c r="C1" s="5"/>
      <x:c r="D1" s="5"/>
      <x:c r="E1" s="5"/>
      <x:c r="F1" s="5"/>
    </x:row>
    <x:row r="3">
      <x:c r="A3" s="22" t="str">
        <x:v>项目</x:v>
      </x:c>
      <x:c r="B3" s="22" t="str">
        <x:v>内容</x:v>
      </x:c>
    </x:row>
    <x:row r="4">
      <x:c r="A4" s="28" t="str">
        <x:v>用途</x:v>
      </x:c>
      <x:c r="B4" s="28" t="str">
        <x:v>用于对齐领域通用库第一版建设需求；不是知识条目数量、数据库表或本体类承诺。</x:v>
      </x:c>
    </x:row>
    <x:row r="5">
      <x:c r="A5" s="28" t="str">
        <x:v>当前产品状态</x:v>
      </x:c>
      <x:c r="B5" s="28" t="str">
        <x:v>P1—P4 已关闭；P5-A/B 已确认；P5-C/D 仍待关闭。</x:v>
      </x:c>
    </x:row>
    <x:row r="6">
      <x:c r="A6" s="28" t="str">
        <x:v>依赖边界</x:v>
      </x:c>
      <x:c r="B6" s="28" t="str">
        <x:v>D-016 决定对象/表/JSON/投影；D-032 决定平台与媒体；G 经营陈列知识延后。</x:v>
      </x:c>
    </x:row>
    <x:row r="7">
      <x:c r="A7" s="28" t="str">
        <x:v>硬度规则</x:v>
      </x:c>
      <x:c r="B7" s="28" t="str">
        <x:v>只有领域知识断言使用三种硬度；方法、模板、规范不标知识硬度。</x:v>
      </x:c>
    </x:row>
    <x:row r="8">
      <x:c r="A8" s="28" t="str">
        <x:v>使用方法</x:v>
      </x:c>
      <x:c r="B8" s="28" t="str">
        <x:v>先按产品、范畴、优先级和状态筛选，再从黄金任务提取具体知识卡。</x:v>
      </x:c>
    </x:row>
    <x:row r="9">
      <x:c r="A9" s="28" t="str">
        <x:v>停止条件</x:v>
      </x:c>
      <x:c r="B9" s="28" t="str">
        <x:v>黄金任务无关键知识缺口、新增知识很少改变质量、没有高风险误分类时停止扩建。</x:v>
      </x:c>
    </x:row>
    <x:row r="10">
      <x:c r="A10" s="28" t="str">
        <x:v>来源基线</x:v>
      </x:c>
      <x:c r="B10" s="28" t="str">
        <x:v>ADR-001、ADR-013、ADR-014、五类内容产品合同V0.3、TODO清单、项目记忆、战略基线。</x:v>
      </x:c>
    </x:row>
  </x:sheetData>
  <x:mergeCells>
    <x:mergeCell ref="A1:F1"/>
  </x:mergeCells>
  <x:pageMargins left="0.7" right="0.7" top="0.75" bottom="0.75" header="0.3" footer="0.3"/>
</x:worksheet>
</file>